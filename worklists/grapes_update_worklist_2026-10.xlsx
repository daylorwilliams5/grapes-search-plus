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Worklist" sheetId="2" state="visible" r:id="rId4"/>
    <sheet name="Summary" sheetId="3" state="visible" r:id="rId5"/>
  </sheets>
  <definedNames>
    <definedName function="false" hidden="true" localSheetId="1" name="_xlnm._FilterDatabase" vbProcedure="false">Worklist!$A$1:$R$408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<sst xmlns="http://schemas.openxmlformats.org/spreadsheetml/2006/main" count="2857" uniqueCount="1114">
  <si>
    <t xml:space="preserve">GRAPES manual update worklist</t>
  </si>
  <si>
    <t xml:space="preserve">Built October 12, 2026 from the GRAPES Search+ site data (407 listings).</t>
  </si>
  <si>
    <t xml:space="preserve">How to use</t>
  </si>
  <si>
    <t xml:space="preserve">1. Work down the Worklist tab in order. It is sorted by priority, then by the soonest estimated deadline.</t>
  </si>
  <si>
    <t xml:space="preserve">2. Open the official link, find the current details, and update the record in the GRAPES backend.</t>
  </si>
  <si>
    <t xml:space="preserve">3. Fill in the yellow columns (New deadline through Date checked). Leave a cell blank if nothing changed.</t>
  </si>
  <si>
    <t xml:space="preserve">4. Pick a Status from the dropdown. The Summary tab tracks progress automatically.</t>
  </si>
  <si>
    <t xml:space="preserve">5. Always paste the page you used in Source link. These answers will be the test set for the AI agent pilot.</t>
  </si>
  <si>
    <t xml:space="preserve">Columns</t>
  </si>
  <si>
    <t xml:space="preserve">Grey/blue columns come from the site data. Do not edit them.</t>
  </si>
  <si>
    <t xml:space="preserve">Yellow columns are yours to fill in.</t>
  </si>
  <si>
    <t xml:space="preserve">"Estimated next deadline" rolls the last known deadline forward a year. It is a guess to help prioritize, not a confirmed date.</t>
  </si>
  <si>
    <t xml:space="preserve">"Days left" counts from today and updates when the file is opened.</t>
  </si>
  <si>
    <t xml:space="preserve">Priorities</t>
  </si>
  <si>
    <t xml:space="preserve">1 - Check now: Deadline on file has passed; next one estimated within 90 days</t>
  </si>
  <si>
    <t xml:space="preserve">2 - Next: Deadline on file has passed; next one estimated in 3-6 months</t>
  </si>
  <si>
    <t xml:space="preserve">3 - Later: Deadline on file has passed; next one estimated 6+ months out</t>
  </si>
  <si>
    <t xml:space="preserve">4 - Find a date: No deadline on file, or last deadline over 18 months old (not rolling)</t>
  </si>
  <si>
    <t xml:space="preserve">5 - Rolling: Rolling / open program: confirm it is still running</t>
  </si>
  <si>
    <t xml:space="preserve">6 - Current: Deadline on file is still upcoming: quick spot check only</t>
  </si>
  <si>
    <t xml:space="preserve">Caveat</t>
  </si>
  <si>
    <t xml:space="preserve">This list comes from the public site, not the backend. Programs removed in the September 2026 audit are not here, and</t>
  </si>
  <si>
    <t xml:space="preserve">staff edits made in the backend since then may not be reflected. Match records by Record # and trust the backend if they differ.</t>
  </si>
  <si>
    <t xml:space="preserve">Example of a completed row (yellow columns)</t>
  </si>
  <si>
    <t xml:space="preserve">New deadline</t>
  </si>
  <si>
    <t xml:space="preserve">New amount</t>
  </si>
  <si>
    <t xml:space="preserve">Source link</t>
  </si>
  <si>
    <t xml:space="preserve">Status</t>
  </si>
  <si>
    <t xml:space="preserve">Notes</t>
  </si>
  <si>
    <t xml:space="preserve">Checked by</t>
  </si>
  <si>
    <t xml:space="preserve">Date checked</t>
  </si>
  <si>
    <t xml:space="preserve">$30,000 stipend</t>
  </si>
  <si>
    <t xml:space="preserve">https://www.lbi.org/about/fellowships/lbi-daad-fellowships/</t>
  </si>
  <si>
    <t xml:space="preserve">Updated</t>
  </si>
  <si>
    <t xml:space="preserve">Second deadline May 1 for spring cycle</t>
  </si>
  <si>
    <t xml:space="preserve">DW</t>
  </si>
  <si>
    <t xml:space="preserve">Priority</t>
  </si>
  <si>
    <t xml:space="preserve">Record #</t>
  </si>
  <si>
    <t xml:space="preserve">Title</t>
  </si>
  <si>
    <t xml:space="preserve">Sponsor</t>
  </si>
  <si>
    <t xml:space="preserve">Site status</t>
  </si>
  <si>
    <t xml:space="preserve">Season</t>
  </si>
  <si>
    <t xml:space="preserve">Deadline on file</t>
  </si>
  <si>
    <t xml:space="preserve">Estimated next deadline</t>
  </si>
  <si>
    <t xml:space="preserve">Days left</t>
  </si>
  <si>
    <t xml:space="preserve">Amount on file</t>
  </si>
  <si>
    <t xml:space="preserve">Official link</t>
  </si>
  <si>
    <t xml:space="preserve">1 - Check now</t>
  </si>
  <si>
    <t xml:space="preserve">Penn Postdoctoral Fellowships for Academic Diversity (Provost's Postdoctoral Fellowship)</t>
  </si>
  <si>
    <t xml:space="preserve">University of Pennsylvania (UPenn)</t>
  </si>
  <si>
    <t xml:space="preserve">Unverified</t>
  </si>
  <si>
    <t xml:space="preserve">Fall</t>
  </si>
  <si>
    <t xml:space="preserve">$68,300 stipend in year one (increasing $2,000/year), plus a $7,000/year research and travel allowance and up to $5,000 relocation allowance</t>
  </si>
  <si>
    <t xml:space="preserve">Open page</t>
  </si>
  <si>
    <t xml:space="preserve">Fellowship in History of Art and Visual Culture</t>
  </si>
  <si>
    <t xml:space="preserve">The Metropolitan Museum of Art</t>
  </si>
  <si>
    <t xml:space="preserve">$53,000 (junior fellows) or $63,000 (senior fellows), plus a $6,000 travel stipend</t>
  </si>
  <si>
    <t xml:space="preserve">Leonard A. Lauder Fellowships in Modern Art</t>
  </si>
  <si>
    <t xml:space="preserve">Leonard A. Lauder Research Center for Modern Art</t>
  </si>
  <si>
    <t xml:space="preserve">Verified</t>
  </si>
  <si>
    <t xml:space="preserve">$6,000 travel stipend; additional stipend varies by fellowship type</t>
  </si>
  <si>
    <t xml:space="preserve">Institute of European Studies (IES) &amp; Center for German and European Studies CGES (General) Predissertation &amp; Dissertation Fellowships</t>
  </si>
  <si>
    <t xml:space="preserve">University of California (UC), Berkeley</t>
  </si>
  <si>
    <t xml:space="preserve">Winter</t>
  </si>
  <si>
    <t xml:space="preserve">$3,000-$5,000</t>
  </si>
  <si>
    <t xml:space="preserve">Society of Exploration Geophysicists (SEG) Foundation Scholarships</t>
  </si>
  <si>
    <t xml:space="preserve">Society of Exploration Geophysicists (SEG)</t>
  </si>
  <si>
    <t xml:space="preserve">$500 - $10,000 per year</t>
  </si>
  <si>
    <t xml:space="preserve">Career Development Program (CDP)</t>
  </si>
  <si>
    <t xml:space="preserve">Leukemia and Lymphoma Society (LLS)</t>
  </si>
  <si>
    <t xml:space="preserve">$65,000-$75,000/year</t>
  </si>
  <si>
    <t xml:space="preserve">NISO Plus Scholarship Award</t>
  </si>
  <si>
    <t xml:space="preserve">NISO</t>
  </si>
  <si>
    <t xml:space="preserve">Lafayette Fellowship</t>
  </si>
  <si>
    <t xml:space="preserve">French Embassy in the United States</t>
  </si>
  <si>
    <t xml:space="preserve">Full funding for one year of master's study</t>
  </si>
  <si>
    <t xml:space="preserve">Center for Engaged Scholarship Dissertation Fellowships</t>
  </si>
  <si>
    <t xml:space="preserve">The Center for Engaged Scholarship</t>
  </si>
  <si>
    <t xml:space="preserve">$25,000 over 9 months</t>
  </si>
  <si>
    <t xml:space="preserve">Kate Neal Kinley Memorial Fellowship</t>
  </si>
  <si>
    <t xml:space="preserve">University of Illinois Urbana-Champaign, College of Fine and Applied Arts</t>
  </si>
  <si>
    <t xml:space="preserve">$20,000 (art/design, dance, music, or theatre award)</t>
  </si>
  <si>
    <t xml:space="preserve">Postdoctoral Fellow in Conservation Science</t>
  </si>
  <si>
    <t xml:space="preserve">Getty Conservation Institute</t>
  </si>
  <si>
    <t xml:space="preserve">Annual stipend, health insurance, study-trip allowance, and Getty scholar housing (specific dollar amount not stated)</t>
  </si>
  <si>
    <t xml:space="preserve">Summer Student Fellowships</t>
  </si>
  <si>
    <t xml:space="preserve">Parkinson's Disease Foundation (PDF)</t>
  </si>
  <si>
    <t xml:space="preserve">$4,000 (plus optional $1,000 travel)</t>
  </si>
  <si>
    <t xml:space="preserve">S.V. Ciriacy-Wantrup Postdoctoral Fellowships in Natural Resource Economics and Political Economy</t>
  </si>
  <si>
    <t xml:space="preserve">$69,073–$77,030 annually</t>
  </si>
  <si>
    <t xml:space="preserve">Energy Fellowship Program</t>
  </si>
  <si>
    <t xml:space="preserve">Link Foundation</t>
  </si>
  <si>
    <t xml:space="preserve">$35,000/year for two years ($70,000 total)</t>
  </si>
  <si>
    <t xml:space="preserve">Davis Fellows for Peace</t>
  </si>
  <si>
    <t xml:space="preserve">Middlebury College</t>
  </si>
  <si>
    <t xml:space="preserve">Full tuition, housing, and food for summer</t>
  </si>
  <si>
    <t xml:space="preserve">Short-Term Fellowships</t>
  </si>
  <si>
    <t xml:space="preserve">John Carter Brown Library</t>
  </si>
  <si>
    <t xml:space="preserve">Spring</t>
  </si>
  <si>
    <t xml:space="preserve">Varies by fellowship type</t>
  </si>
  <si>
    <t xml:space="preserve">Harvard Program on U.S.-Japan Relations Postdoctoral Fellowships</t>
  </si>
  <si>
    <t xml:space="preserve">Harvard University, Program on U.S.- Japan Relations</t>
  </si>
  <si>
    <t xml:space="preserve">Year-long stipend (commencing August or September 2026)</t>
  </si>
  <si>
    <t xml:space="preserve">Goldstine Fellowship</t>
  </si>
  <si>
    <t xml:space="preserve">IBM Thomas J. Watson Research Center, Business Analytics and Mathematical Sciences Dept.</t>
  </si>
  <si>
    <t xml:space="preserve">Competitive postdoctoral salary and benefits</t>
  </si>
  <si>
    <t xml:space="preserve">Roe L. Johns Student Travel Grant</t>
  </si>
  <si>
    <t xml:space="preserve">Association for Education Finance &amp; Policy (AEFP)</t>
  </si>
  <si>
    <t xml:space="preserve">$500</t>
  </si>
  <si>
    <t xml:space="preserve">Wallenberg - NTU Presidential Postdoctoral Fellowships</t>
  </si>
  <si>
    <t xml:space="preserve">Knut and Alice Wallenberg Foundation</t>
  </si>
  <si>
    <t xml:space="preserve">SGD 80,000/year (~USD 60,000) + research support</t>
  </si>
  <si>
    <t xml:space="preserve">Dooley Distinguished Research Fellows</t>
  </si>
  <si>
    <t xml:space="preserve">Georgia Historical Society</t>
  </si>
  <si>
    <t xml:space="preserve">Up to $5,000 per fellow; 1-5 fellows per cycle</t>
  </si>
  <si>
    <t xml:space="preserve">Grant Notley Memorial Postdoctoral Fellowship</t>
  </si>
  <si>
    <t xml:space="preserve">University of Alberta (UAlberta)</t>
  </si>
  <si>
    <t xml:space="preserve">$4,000 research allowance</t>
  </si>
  <si>
    <t xml:space="preserve">Izaak Walton Killam Memorial Postdoctoral Fellowships</t>
  </si>
  <si>
    <t xml:space="preserve">University of Alberta</t>
  </si>
  <si>
    <t xml:space="preserve">$50,000/year + benefits + $4,000 one-time research/travel grant</t>
  </si>
  <si>
    <t xml:space="preserve">Andrew W. Mellon Postdoctoral Fellowship (Wesleyan University Center for the Humanities)</t>
  </si>
  <si>
    <t xml:space="preserve">Andrew W. Mellon Foundation</t>
  </si>
  <si>
    <t xml:space="preserve">$70,000 annual stipend plus $3,000 research funds</t>
  </si>
  <si>
    <t xml:space="preserve">2 - Next</t>
  </si>
  <si>
    <t xml:space="preserve">Andrew W. Mellon Foundation Postdoctoral Fellowship in Women's History</t>
  </si>
  <si>
    <t xml:space="preserve">New York Historical Society</t>
  </si>
  <si>
    <t xml:space="preserve">$60,000 stipend + benefits for 10 months</t>
  </si>
  <si>
    <t xml:space="preserve">Andrew W. Mellon Foundation Predoctoral Fellowship in Women's History</t>
  </si>
  <si>
    <t xml:space="preserve">$20,000 stipend for 10 months</t>
  </si>
  <si>
    <t xml:space="preserve">An Wang Postdoctoral Fellowship</t>
  </si>
  <si>
    <t xml:space="preserve">The Fairbank Center for Chinese Studies</t>
  </si>
  <si>
    <t xml:space="preserve">$67,600 annual stipend</t>
  </si>
  <si>
    <t xml:space="preserve">Winterthur Research Fellowship Program</t>
  </si>
  <si>
    <t xml:space="preserve">Winterthur Museum, Garden &amp; Library</t>
  </si>
  <si>
    <t xml:space="preserve">Varies by fellowship length (covers room and board for residential)</t>
  </si>
  <si>
    <t xml:space="preserve">Gina M Finzi Memorial Student Summer Fellowship Program</t>
  </si>
  <si>
    <t xml:space="preserve">Lupus Foundation of America</t>
  </si>
  <si>
    <t xml:space="preserve">$4,000 (five awards)</t>
  </si>
  <si>
    <t xml:space="preserve">Mildred E. Mathias Graduate Student Research Grant Program</t>
  </si>
  <si>
    <t xml:space="preserve">University of California Natural Reserve System (UC NRS)</t>
  </si>
  <si>
    <t xml:space="preserve">Up to $3,000 per grant (approx. $38,000 total pool)</t>
  </si>
  <si>
    <t xml:space="preserve">Andrew Vincent White and Florence Wales White Graduate Student Scholarship (Medicine &amp; Humanities)</t>
  </si>
  <si>
    <t xml:space="preserve">University of California Humanities Research Institute (UCHRI)</t>
  </si>
  <si>
    <t xml:space="preserve">Up to $27,000</t>
  </si>
  <si>
    <t xml:space="preserve">Fellows Program</t>
  </si>
  <si>
    <t xml:space="preserve">Center for U.S.-Mexican Studies (USMEX)</t>
  </si>
  <si>
    <t xml:space="preserve">Up to $22,500 USD cost-of-living allowance</t>
  </si>
  <si>
    <t xml:space="preserve">Chateaubriand Fellowship - Humanities &amp; Social Sciences (HSS)</t>
  </si>
  <si>
    <t xml:space="preserve">Cultural Services of the French Embassy in the U.S.</t>
  </si>
  <si>
    <t xml:space="preserve">Monthly stipend, round-trip airfare, health insurance</t>
  </si>
  <si>
    <t xml:space="preserve">Chateaubriand Fellowship - Science, Technology, Engineering &amp; Mathematics (STEM)</t>
  </si>
  <si>
    <t xml:space="preserve">Office for Science and Technology, Embassy of France in the United States</t>
  </si>
  <si>
    <t xml:space="preserve">Up to €1,850/month</t>
  </si>
  <si>
    <t xml:space="preserve">Post-Doctoral Fellowships</t>
  </si>
  <si>
    <t xml:space="preserve">The Library Company of Philadelphia (LCP)</t>
  </si>
  <si>
    <t xml:space="preserve">$55,000/year (postdoctoral); $20,000 (dissertation)</t>
  </si>
  <si>
    <t xml:space="preserve">ASOR Mesopotamian Fellowship</t>
  </si>
  <si>
    <t xml:space="preserve">American Schools of Oriental Research (ASOR)</t>
  </si>
  <si>
    <t xml:space="preserve">$9,000</t>
  </si>
  <si>
    <t xml:space="preserve">Josephine de Karman Fellowship</t>
  </si>
  <si>
    <t xml:space="preserve">Josephine De Karman Fellowship Trust</t>
  </si>
  <si>
    <t xml:space="preserve">$28,000</t>
  </si>
  <si>
    <t xml:space="preserve">NASA Space Technology Graduate Research Opportunities (NSTGRO)</t>
  </si>
  <si>
    <t xml:space="preserve">National Aeronautics and Space Administration (NASA)</t>
  </si>
  <si>
    <t xml:space="preserve">Taiwan Studies Graduate Research Fellowship</t>
  </si>
  <si>
    <t xml:space="preserve">Taiwan Ministry of Education / Taipei Economic and Cultural Office in Los Angeles</t>
  </si>
  <si>
    <t xml:space="preserve">Applied Machine Learning Summer Research Fellowship</t>
  </si>
  <si>
    <t xml:space="preserve">Los Alamos National Laboratory (LANL)</t>
  </si>
  <si>
    <t xml:space="preserve">Paid fellowship plus travel reimbursement</t>
  </si>
  <si>
    <t xml:space="preserve">American Nuclear Society Scholarships</t>
  </si>
  <si>
    <t xml:space="preserve">American Nuclear Society (ANS)</t>
  </si>
  <si>
    <t xml:space="preserve">$1,000–$5,000 depending on scholarship</t>
  </si>
  <si>
    <t xml:space="preserve">Clark Bibliographical Fellowship</t>
  </si>
  <si>
    <t xml:space="preserve">William Andrews Clark Memorial Library</t>
  </si>
  <si>
    <t xml:space="preserve">$12,000 for 3 months</t>
  </si>
  <si>
    <t xml:space="preserve">Clark Dissertation Fellowships</t>
  </si>
  <si>
    <t xml:space="preserve">UCLA Center for 17th &amp; 18th Century Studies</t>
  </si>
  <si>
    <t xml:space="preserve">$36,000</t>
  </si>
  <si>
    <t xml:space="preserve">Clark Predoctoral Fellowship</t>
  </si>
  <si>
    <t xml:space="preserve">$4,000/month for 1–3 months</t>
  </si>
  <si>
    <t xml:space="preserve">Clark Short-Term Fellowships</t>
  </si>
  <si>
    <t xml:space="preserve">Alvin H Johnson 50 Dissertation Fellowships</t>
  </si>
  <si>
    <t xml:space="preserve">American Musicological Society (AMS)</t>
  </si>
  <si>
    <t xml:space="preserve">$25,000 for one year</t>
  </si>
  <si>
    <t xml:space="preserve">Charles F. Scott Fellowship</t>
  </si>
  <si>
    <t xml:space="preserve">UCLA Graduate Division</t>
  </si>
  <si>
    <t xml:space="preserve">Up to $15,000</t>
  </si>
  <si>
    <t xml:space="preserve">Dr. Ursula Mandel Scholarship</t>
  </si>
  <si>
    <t xml:space="preserve">$15,000 in fees</t>
  </si>
  <si>
    <t xml:space="preserve">Gold Shield Alumnae of UCLA</t>
  </si>
  <si>
    <t xml:space="preserve">UCLA Division of Graduate Education</t>
  </si>
  <si>
    <t xml:space="preserve">Graduate Research Mentorship (GRM) Program</t>
  </si>
  <si>
    <t xml:space="preserve">$30,000</t>
  </si>
  <si>
    <t xml:space="preserve">Graduate Summer Research Mentorship (GSRM) Program</t>
  </si>
  <si>
    <t xml:space="preserve">Summer support (varies)</t>
  </si>
  <si>
    <t xml:space="preserve">Paulson Scholarship Fund</t>
  </si>
  <si>
    <t xml:space="preserve">Up to $6,000</t>
  </si>
  <si>
    <t xml:space="preserve">UCLA Faculty Women's Club (FWC) Scholarship</t>
  </si>
  <si>
    <t xml:space="preserve">Werner R. Scott Fund</t>
  </si>
  <si>
    <t xml:space="preserve">$8,000</t>
  </si>
  <si>
    <t xml:space="preserve">Will Rogers Memorial Fellowship</t>
  </si>
  <si>
    <t xml:space="preserve">$10,000</t>
  </si>
  <si>
    <t xml:space="preserve">Fellowships for Study in Quebec</t>
  </si>
  <si>
    <t xml:space="preserve">Society of French and Francophone Teachers of America (SPFFA)</t>
  </si>
  <si>
    <t xml:space="preserve">$1,500 - $25,000 (or $4,000 for summer Quebec programs)</t>
  </si>
  <si>
    <t xml:space="preserve">HSF Scholar Program</t>
  </si>
  <si>
    <t xml:space="preserve">Hispanic Scholarship Fund (HSF)</t>
  </si>
  <si>
    <t xml:space="preserve">$500–$5,000 based on financial need</t>
  </si>
  <si>
    <t xml:space="preserve">Smithsonian Environmental Research Center (SERC) Internship Program</t>
  </si>
  <si>
    <t xml:space="preserve">Smithsonian Environmental Research Center (SERC)</t>
  </si>
  <si>
    <t xml:space="preserve">$700/week</t>
  </si>
  <si>
    <t xml:space="preserve">Chancellor's Doctoral Incentive Program (CDIP)</t>
  </si>
  <si>
    <t xml:space="preserve">California State University (CSU)</t>
  </si>
  <si>
    <t xml:space="preserve">Up to $10,000/year for 3 years (max $30,000), forgivable at 20%/year of full-time CSU teaching employment</t>
  </si>
  <si>
    <t xml:space="preserve">Graduate Student Research Grants (with ExxonMobil-sponsored awards)</t>
  </si>
  <si>
    <t xml:space="preserve">Geological Society of America (GSA)</t>
  </si>
  <si>
    <t xml:space="preserve">$7,500 (ExxonMobil-sponsored awards); other GSA research grants vary</t>
  </si>
  <si>
    <t xml:space="preserve">Alisa Bierria Graduate Fellowship</t>
  </si>
  <si>
    <t xml:space="preserve">UCLA Center for the Study of Women</t>
  </si>
  <si>
    <t xml:space="preserve">Elizabeth Blackwell, M.D. Award</t>
  </si>
  <si>
    <t xml:space="preserve">Monetary award (amount set annually by CSW)</t>
  </si>
  <si>
    <t xml:space="preserve">Jean Stone Dissertation Research Fellowship</t>
  </si>
  <si>
    <t xml:space="preserve">Competitive award; amount set annually</t>
  </si>
  <si>
    <t xml:space="preserve">Mariame Kaba Graduate Fellowship</t>
  </si>
  <si>
    <t xml:space="preserve">$2,000</t>
  </si>
  <si>
    <t xml:space="preserve">Paula Stone Legal Research Fellowship</t>
  </si>
  <si>
    <t xml:space="preserve">$3,000</t>
  </si>
  <si>
    <t xml:space="preserve">Scoville Peace Fellowship</t>
  </si>
  <si>
    <t xml:space="preserve">The Herbert Scoville Jr. Peace Fellowship</t>
  </si>
  <si>
    <t xml:space="preserve">Salary, health insurance, and travel covered</t>
  </si>
  <si>
    <t xml:space="preserve">The Constance Coiner Graduate Fellowships</t>
  </si>
  <si>
    <t xml:space="preserve">The Penny Kanner Dissertation Research Fellowship</t>
  </si>
  <si>
    <t xml:space="preserve">John Ries Scholarship</t>
  </si>
  <si>
    <t xml:space="preserve">Expanded Shale, Clay, and Slate Institute (ESCSI)</t>
  </si>
  <si>
    <t xml:space="preserve">$5,000</t>
  </si>
  <si>
    <t xml:space="preserve">Advanced Simulation &amp; Training Fellowships</t>
  </si>
  <si>
    <t xml:space="preserve">$35,000/year for up to 2 years</t>
  </si>
  <si>
    <t xml:space="preserve">Jean and Marie-Louise Dufrenoy Scholarship</t>
  </si>
  <si>
    <t xml:space="preserve">$25,000 per academic year</t>
  </si>
  <si>
    <t xml:space="preserve">The George and Sakaye Aratani Fellowship</t>
  </si>
  <si>
    <t xml:space="preserve">UCLA Paul I. and Hisako Terasaki Center for Japanese Studies</t>
  </si>
  <si>
    <t xml:space="preserve">Up to $8,000</t>
  </si>
  <si>
    <t xml:space="preserve">The George and Sakaye Aratani Field Experience Scholarship</t>
  </si>
  <si>
    <t xml:space="preserve">$25,000</t>
  </si>
  <si>
    <t xml:space="preserve">The Hans H. Baerwald Graduate Student Fellowship</t>
  </si>
  <si>
    <t xml:space="preserve">Summer Student Research Assistantships</t>
  </si>
  <si>
    <t xml:space="preserve">National Radio Astronomy Observatory (NRAO)</t>
  </si>
  <si>
    <t xml:space="preserve">Competitive stipend</t>
  </si>
  <si>
    <t xml:space="preserve">The Bancroft Library Study Award</t>
  </si>
  <si>
    <t xml:space="preserve">Kenneth E. and Dorothy V. Hill Fellowship Fund</t>
  </si>
  <si>
    <t xml:space="preserve">Eudora Welty Research Fellowship</t>
  </si>
  <si>
    <t xml:space="preserve">Mississippi Department of Archives and History</t>
  </si>
  <si>
    <t xml:space="preserve">Summer Dissertation/Pre-Dissertation Fellowship</t>
  </si>
  <si>
    <t xml:space="preserve">UCLA Center for European and Russian Studies (CERS)</t>
  </si>
  <si>
    <t xml:space="preserve">Up to $5,000</t>
  </si>
  <si>
    <t xml:space="preserve">Summer Language Study Grants</t>
  </si>
  <si>
    <t xml:space="preserve">Up to $4,000</t>
  </si>
  <si>
    <t xml:space="preserve">International Research Scientist Development Award (IRSDA)</t>
  </si>
  <si>
    <t xml:space="preserve">National Institutes of Health (NIH)</t>
  </si>
  <si>
    <t xml:space="preserve">Salary and research support for 3-5 years</t>
  </si>
  <si>
    <t xml:space="preserve">California Science and Technology Policy Fellowships</t>
  </si>
  <si>
    <t xml:space="preserve">California Council on Science and Technology (CCST)</t>
  </si>
  <si>
    <t xml:space="preserve">Competitive stipend plus health care costs</t>
  </si>
  <si>
    <t xml:space="preserve">Newton International Fellowship</t>
  </si>
  <si>
    <t xml:space="preserve">The Royal Society</t>
  </si>
  <si>
    <t xml:space="preserve">Funding cap of £280,000 (Royal Society scheme)</t>
  </si>
  <si>
    <t xml:space="preserve">W.E.B. Du Bois Scholar Program</t>
  </si>
  <si>
    <t xml:space="preserve">Roper Center for Public Opinion</t>
  </si>
  <si>
    <t xml:space="preserve">$5,000 + AAPOR membership</t>
  </si>
  <si>
    <t xml:space="preserve">Jeanne Marandon Fellowship</t>
  </si>
  <si>
    <t xml:space="preserve">$1,500-$25,000</t>
  </si>
  <si>
    <t xml:space="preserve">Pre-Dissertation Research Fellowships in European Studies</t>
  </si>
  <si>
    <t xml:space="preserve">Columbia University, Council for European Studies</t>
  </si>
  <si>
    <t xml:space="preserve">$5,000 plus conference registration waiver</t>
  </si>
  <si>
    <t xml:space="preserve">Research Fellowship Program</t>
  </si>
  <si>
    <t xml:space="preserve">Portland Cement Association (PCA) Education Foundation</t>
  </si>
  <si>
    <t xml:space="preserve">$35,000 total award</t>
  </si>
  <si>
    <t xml:space="preserve">Blaustein Center (BCSC) Postdoctoral Fellowships</t>
  </si>
  <si>
    <t xml:space="preserve">The Jacob Blaustein Center for Scientific Cooperation (BCSC)</t>
  </si>
  <si>
    <t xml:space="preserve">$26,000 annually (standard) or ~$29,000 (Distinguished); 1-2 year terms</t>
  </si>
  <si>
    <t xml:space="preserve">Dannon Gut Microbiome, Yogurt and Probiotics Fellowship Program</t>
  </si>
  <si>
    <t xml:space="preserve">The Dannon Company</t>
  </si>
  <si>
    <t xml:space="preserve">$25,000 each for two recipients</t>
  </si>
  <si>
    <t xml:space="preserve">Rozaire Research Award</t>
  </si>
  <si>
    <t xml:space="preserve">UCLA Fowler Museum</t>
  </si>
  <si>
    <t xml:space="preserve">$2,500</t>
  </si>
  <si>
    <t xml:space="preserve">Sarah Elizabeth Gilfillan Award</t>
  </si>
  <si>
    <t xml:space="preserve">Arnold Rubin Award</t>
  </si>
  <si>
    <t xml:space="preserve">Fowler Museum at UCLA</t>
  </si>
  <si>
    <t xml:space="preserve">$3,000-$4,000</t>
  </si>
  <si>
    <t xml:space="preserve">Horton (Hydrology) Research Grant</t>
  </si>
  <si>
    <t xml:space="preserve">American Geophysical Union (AGU)</t>
  </si>
  <si>
    <t xml:space="preserve">Center of Military History (CMH) Dissertation Fellowships</t>
  </si>
  <si>
    <t xml:space="preserve">National Museum of the United States Army</t>
  </si>
  <si>
    <t xml:space="preserve">$15,000–$80,000 depending on fellowship tier</t>
  </si>
  <si>
    <t xml:space="preserve">Cobell Scholarship</t>
  </si>
  <si>
    <t xml:space="preserve">Indigenous Education, Inc. (IEI)</t>
  </si>
  <si>
    <t xml:space="preserve">Deep Time Peter Buck Fellowship Peter Buck Deep Time Postdoctoral Fellowship</t>
  </si>
  <si>
    <t xml:space="preserve">Smithsonian Institution (SI)</t>
  </si>
  <si>
    <t xml:space="preserve">$62,000/year stipend + $5,000 research/travel + $5,000 health insurance + $1,000 relocation</t>
  </si>
  <si>
    <t xml:space="preserve">Islamic Scholarship Fund (ISF)</t>
  </si>
  <si>
    <t xml:space="preserve">Islamic Scholarship Fund</t>
  </si>
  <si>
    <t xml:space="preserve">Varies by fellowship ($40,000 Congressional; $10,000+ Journalism)</t>
  </si>
  <si>
    <t xml:space="preserve">Scholarship Program</t>
  </si>
  <si>
    <t xml:space="preserve">National Federation of the Blind (NFB)</t>
  </si>
  <si>
    <t xml:space="preserve">Graduate Fellowship for Alternatives to the Use of Animals in Science</t>
  </si>
  <si>
    <t xml:space="preserve">International Foundation for Ethical Research (IFER)</t>
  </si>
  <si>
    <t xml:space="preserve">$15,000/year + $1,000 travel</t>
  </si>
  <si>
    <t xml:space="preserve">Newkirk Fellowship</t>
  </si>
  <si>
    <t xml:space="preserve">High Altitude Observatory (HAO)</t>
  </si>
  <si>
    <t xml:space="preserve">Postdoctoral Fellowship Program for Foreign Researchers</t>
  </si>
  <si>
    <t xml:space="preserve">Japanese Society for the Promotion of Science (JSPS)</t>
  </si>
  <si>
    <t xml:space="preserve">JPY 362,000 per month plus settling-in allowance of JPY 200,000 and travel insurance</t>
  </si>
  <si>
    <t xml:space="preserve">The Harry C. Sigman Graduate Fellowship</t>
  </si>
  <si>
    <t xml:space="preserve">UCLA Y&amp;S Nazarian Center for Israel Studies</t>
  </si>
  <si>
    <t xml:space="preserve">3 - Later</t>
  </si>
  <si>
    <t xml:space="preserve">Lemelson Center Fellowship Program</t>
  </si>
  <si>
    <t xml:space="preserve">Lemelson Center for the Study of Invention &amp; Innovation</t>
  </si>
  <si>
    <t xml:space="preserve">National Health Service Corps (NHSC) Scholarship Program</t>
  </si>
  <si>
    <t xml:space="preserve">National Health Service Corps (NHSC), Health Resources and Services Administration (HRSA)</t>
  </si>
  <si>
    <t xml:space="preserve">Full tuition/fees plus a monthly stipend</t>
  </si>
  <si>
    <t xml:space="preserve">Lee Schipper Memorial Scholarship for Sustainable Transport and Energy Efficiency</t>
  </si>
  <si>
    <t xml:space="preserve">Volvo Research and Educational Foundations</t>
  </si>
  <si>
    <t xml:space="preserve">Up to $12,500</t>
  </si>
  <si>
    <t xml:space="preserve">Lynn and Maude White Fellowship</t>
  </si>
  <si>
    <t xml:space="preserve">UCLA Center for Medieval &amp; Renaissance Studies</t>
  </si>
  <si>
    <t xml:space="preserve">National Endowment for the Humanities NEH Fellowships</t>
  </si>
  <si>
    <t xml:space="preserve">National Endowment for the Humanities (NEH)</t>
  </si>
  <si>
    <t xml:space="preserve">Up to $60,000 ($5,000/month for 6–12 months)</t>
  </si>
  <si>
    <t xml:space="preserve">New Investigators Research Grant</t>
  </si>
  <si>
    <t xml:space="preserve">American Speech-Language-Hearing Foundation (ASHFoundation)</t>
  </si>
  <si>
    <t xml:space="preserve">$10,000 per grant (up to 10 awards)</t>
  </si>
  <si>
    <t xml:space="preserve">White House Fellowship Program</t>
  </si>
  <si>
    <t xml:space="preserve">White House</t>
  </si>
  <si>
    <t xml:space="preserve">GS-14 federal salary</t>
  </si>
  <si>
    <t xml:space="preserve">Hiroshi Wagatsuma Memorial Fellowship</t>
  </si>
  <si>
    <t xml:space="preserve">UCLA Asia Institute</t>
  </si>
  <si>
    <t xml:space="preserve">Up to $7,000</t>
  </si>
  <si>
    <t xml:space="preserve">Graduate Certificate in Early Modern Studies</t>
  </si>
  <si>
    <t xml:space="preserve">Diana Jacobs Kalman/AFAR Scholarships for Research in the Biology of Aging</t>
  </si>
  <si>
    <t xml:space="preserve">American Federation for Aging Research (AFAR)</t>
  </si>
  <si>
    <t xml:space="preserve">GMiS STEM Scholarship Program (formerly HENAAC Scholars Program)</t>
  </si>
  <si>
    <t xml:space="preserve">Great Minds in STEM (GMiS)</t>
  </si>
  <si>
    <t xml:space="preserve">$500-$10,000</t>
  </si>
  <si>
    <t xml:space="preserve">New Century Scholars Doctoral Scholarship</t>
  </si>
  <si>
    <t xml:space="preserve">$10,000 per scholarship (up to 15 awards)</t>
  </si>
  <si>
    <t xml:space="preserve">Pivot Fellowship</t>
  </si>
  <si>
    <t xml:space="preserve">Simons Foundation</t>
  </si>
  <si>
    <t xml:space="preserve">Full salary support plus $10,000 allowance</t>
  </si>
  <si>
    <t xml:space="preserve">Graduate Research Program on Public-Sector Aviation Issues</t>
  </si>
  <si>
    <t xml:space="preserve">Federal Aviation Administration (FAA)</t>
  </si>
  <si>
    <t xml:space="preserve">$12,000 per award (up to 10 awards)</t>
  </si>
  <si>
    <t xml:space="preserve">Mexican American Legal Defense and Educational Fund (MALDEF) Law School Scholarship Program</t>
  </si>
  <si>
    <t xml:space="preserve">Mexican American Legal Defense and Educational Fund (MALDEF)</t>
  </si>
  <si>
    <t xml:space="preserve">$2,000–$10,000</t>
  </si>
  <si>
    <t xml:space="preserve">NBI Law Student Fellowship Program</t>
  </si>
  <si>
    <t xml:space="preserve">National Bar Association (NBA)</t>
  </si>
  <si>
    <t xml:space="preserve">$1,000 to $10,000</t>
  </si>
  <si>
    <t xml:space="preserve">World Wide Studies Grant</t>
  </si>
  <si>
    <t xml:space="preserve">Victor Pinchuk Foundation</t>
  </si>
  <si>
    <t xml:space="preserve">Up to USD $50,000 (covers 60% of total costs)</t>
  </si>
  <si>
    <t xml:space="preserve">ASHFoundation Graduate Student Scholarship</t>
  </si>
  <si>
    <t xml:space="preserve">Christine Mirzayan Science &amp; Technology Policy Graduate Fellowship Program</t>
  </si>
  <si>
    <t xml:space="preserve">National Academies of Sciences, Engineering, and Medicine</t>
  </si>
  <si>
    <t xml:space="preserve">Summer</t>
  </si>
  <si>
    <t xml:space="preserve">UCLA Health Jonsson Comprehensive Cancer Center (UCLA Health JCCC)</t>
  </si>
  <si>
    <t xml:space="preserve">UCLA Health</t>
  </si>
  <si>
    <t xml:space="preserve">Up to $10,000</t>
  </si>
  <si>
    <t xml:space="preserve">David C. Lizarraga Fellowship</t>
  </si>
  <si>
    <t xml:space="preserve">TELACU Education Foundation</t>
  </si>
  <si>
    <t xml:space="preserve">Varies; financial support + mentorship</t>
  </si>
  <si>
    <t xml:space="preserve">Scholarships for Graduate Students</t>
  </si>
  <si>
    <t xml:space="preserve">Association on American Indian Affairs (AAIA)</t>
  </si>
  <si>
    <t xml:space="preserve">$76,000 total scholarships available annually (varies by program)</t>
  </si>
  <si>
    <t xml:space="preserve">APA Outstanding Student Awards</t>
  </si>
  <si>
    <t xml:space="preserve">American Planning Association (APA)</t>
  </si>
  <si>
    <t xml:space="preserve">Award amount not specified</t>
  </si>
  <si>
    <t xml:space="preserve">Gulf Research Program Early-Career Research Fellowship</t>
  </si>
  <si>
    <t xml:space="preserve">$76,000</t>
  </si>
  <si>
    <t xml:space="preserve">VOICE Initiative</t>
  </si>
  <si>
    <t xml:space="preserve">John A. Knauss Marine Policy Fellowship</t>
  </si>
  <si>
    <t xml:space="preserve">National Oceanic and Atmospheric Administration (NOAA), National Sea Grant College Program</t>
  </si>
  <si>
    <t xml:space="preserve">Paid one-year fellowship with salary and benefits</t>
  </si>
  <si>
    <t xml:space="preserve">Collegiate Inventors Competition</t>
  </si>
  <si>
    <t xml:space="preserve">National Inventors Hall of Fame</t>
  </si>
  <si>
    <t xml:space="preserve">CISAC Fellowships</t>
  </si>
  <si>
    <t xml:space="preserve">Center for International Security and Cooperation (CISAC)</t>
  </si>
  <si>
    <t xml:space="preserve">Competitive stipend for 9–11 months</t>
  </si>
  <si>
    <t xml:space="preserve">Japanese Government (MEXT) Scholarship for Research Students</t>
  </si>
  <si>
    <t xml:space="preserve">Japanese Government (Monbukagakusho)</t>
  </si>
  <si>
    <t xml:space="preserve">Full tuition + monthly stipend + round-trip airfare</t>
  </si>
  <si>
    <t xml:space="preserve">California Sea Grant State Fellowship</t>
  </si>
  <si>
    <t xml:space="preserve">California Sea Grant College Program</t>
  </si>
  <si>
    <t xml:space="preserve">Congressional Fellowships on Women and Public Policy</t>
  </si>
  <si>
    <t xml:space="preserve">Women's Research and Education Institute</t>
  </si>
  <si>
    <t xml:space="preserve">Varies; includes stipend</t>
  </si>
  <si>
    <t xml:space="preserve">Helen Hay Whitney Foundation Postdoctoral Research Fellowship</t>
  </si>
  <si>
    <t xml:space="preserve">The Helen Hay Whitney Foundation</t>
  </si>
  <si>
    <t xml:space="preserve">$229,500 over 3 years</t>
  </si>
  <si>
    <t xml:space="preserve">Institute of Current World Affairs Fellowship</t>
  </si>
  <si>
    <t xml:space="preserve">Institute of Current World Affairs (ICWA)</t>
  </si>
  <si>
    <t xml:space="preserve">Yale LGBT Studies Research Fellowship</t>
  </si>
  <si>
    <t xml:space="preserve">Lesbian, Gay, Bisexual, and Transgender Studies (LGBTS)</t>
  </si>
  <si>
    <t xml:space="preserve">$5,500 plus transportation, room, board, and research stipend</t>
  </si>
  <si>
    <t xml:space="preserve">Glenn/AFAR (American Federation for Aging Research) Postdoctoral Fellowship Program for Translational Research on Aging</t>
  </si>
  <si>
    <t xml:space="preserve">The Glenn Foundation for Medical Research</t>
  </si>
  <si>
    <t xml:space="preserve">$75,000–$80,000 per year for one year</t>
  </si>
  <si>
    <t xml:space="preserve">Stanford Molecular Imaging Scholars (SMIS) Program</t>
  </si>
  <si>
    <t xml:space="preserve">Stanford School of Medicine</t>
  </si>
  <si>
    <t xml:space="preserve">Stipend (amount not specified); full tuition and health insurance</t>
  </si>
  <si>
    <t xml:space="preserve">CGS/ProQuest Distinguished Dissertation Award</t>
  </si>
  <si>
    <t xml:space="preserve">Council of Graduate Schools (CGS)</t>
  </si>
  <si>
    <t xml:space="preserve">Edward Guiliano Global Fellowships</t>
  </si>
  <si>
    <t xml:space="preserve">Modern Language Association</t>
  </si>
  <si>
    <t xml:space="preserve">Up to $2,000</t>
  </si>
  <si>
    <t xml:space="preserve">Los Angeles Area Health Services Research Training Program</t>
  </si>
  <si>
    <t xml:space="preserve">University of California, Los Angeles</t>
  </si>
  <si>
    <t xml:space="preserve">Stipend + tuition support (varies by level)</t>
  </si>
  <si>
    <t xml:space="preserve">American Heart Association Predoctoral Fellowship</t>
  </si>
  <si>
    <t xml:space="preserve">American Heart Association (AHA)</t>
  </si>
  <si>
    <t xml:space="preserve">$29,364/year stipend plus $4,550 health insurance and $2,000 project support</t>
  </si>
  <si>
    <t xml:space="preserve">Ruth L. Kirschstein National Research Service Award (NRSA) Individual Postdoctoral Fellowship</t>
  </si>
  <si>
    <t xml:space="preserve">Up to 3 years of support; stipend follows NIH NRSA pay scale (starting ~$56,000/year) plus institutional allowance</t>
  </si>
  <si>
    <t xml:space="preserve">Society of Fellows in the Liberal Arts</t>
  </si>
  <si>
    <t xml:space="preserve">Princeton University</t>
  </si>
  <si>
    <t xml:space="preserve">Damon Runyon Postdoctoral Research Fellowships</t>
  </si>
  <si>
    <t xml:space="preserve">Damon Runyon Cancer Research Foundation (DRCRF)</t>
  </si>
  <si>
    <t xml:space="preserve">$300,000 total over 4 years ($70,000-$76,000/year plus expenses)</t>
  </si>
  <si>
    <t xml:space="preserve">Geophysical Fluid Dynamics (GFD) Fellowships</t>
  </si>
  <si>
    <t xml:space="preserve">Woods Hole Oceanographic Institution (WHOI)</t>
  </si>
  <si>
    <t xml:space="preserve">$8,430 stipend + travel allowance</t>
  </si>
  <si>
    <t xml:space="preserve">Community Action Research Initiative (CARI) Grants</t>
  </si>
  <si>
    <t xml:space="preserve">American Sociological Association (ASA)</t>
  </si>
  <si>
    <t xml:space="preserve">Up to $3,000 per project</t>
  </si>
  <si>
    <t xml:space="preserve">IBM PhD Fellowship Awards Program</t>
  </si>
  <si>
    <t xml:space="preserve">International Business Machines (IBM)</t>
  </si>
  <si>
    <t xml:space="preserve">Autism Research Postdoctoral Training Program</t>
  </si>
  <si>
    <t xml:space="preserve">University of California, Davis (UCD)</t>
  </si>
  <si>
    <t xml:space="preserve">NIH-scale postdoctoral stipend + benefits for 2 years</t>
  </si>
  <si>
    <t xml:space="preserve">CRI Irvington Postdoctoral Fellowships</t>
  </si>
  <si>
    <t xml:space="preserve">Cancer Research Institute (CRI)</t>
  </si>
  <si>
    <t xml:space="preserve">$74,000-$78,000/year</t>
  </si>
  <si>
    <t xml:space="preserve">Gulf Research Program Science Policy Fellowship</t>
  </si>
  <si>
    <t xml:space="preserve">Stipend (amount not specified)</t>
  </si>
  <si>
    <t xml:space="preserve">Korea Foundation Fellowship for Field Research</t>
  </si>
  <si>
    <t xml:space="preserve">Korea Foundation (KF)</t>
  </si>
  <si>
    <t xml:space="preserve">Society for the Humanities Fellowship</t>
  </si>
  <si>
    <t xml:space="preserve">Society for the Humanities at Cornell University</t>
  </si>
  <si>
    <t xml:space="preserve">$35,661 - $64,000 depending on fellowship type</t>
  </si>
  <si>
    <t xml:space="preserve">U.S. Department of State Student Internship Program</t>
  </si>
  <si>
    <t xml:space="preserve">U.S. Department of State</t>
  </si>
  <si>
    <t xml:space="preserve">Paid position (hourly wage varies by role)</t>
  </si>
  <si>
    <t xml:space="preserve">Arnold O. Beckman Postdoctoral Fellowship in Chemical Sciences or Chemical Instrumentation</t>
  </si>
  <si>
    <t xml:space="preserve">Arnold and Mabel Beckman Foundation</t>
  </si>
  <si>
    <t xml:space="preserve">$224,000 over 2 years (salary, benefits, research funds); instrumentation track adds up to $200,000 one-time for equipment/development</t>
  </si>
  <si>
    <t xml:space="preserve">UCLA Y&amp;S Nazarian Center for Israel Studies Postdoctoral Fellowship</t>
  </si>
  <si>
    <t xml:space="preserve">Luce Scholars Program</t>
  </si>
  <si>
    <t xml:space="preserve">The Henry Luce Foundation</t>
  </si>
  <si>
    <t xml:space="preserve">Stipends plus language training and placement support</t>
  </si>
  <si>
    <t xml:space="preserve">Harvard Radcliffe Institute Fellowship Program</t>
  </si>
  <si>
    <t xml:space="preserve">Radcliffe Institute for Advanced Study</t>
  </si>
  <si>
    <t xml:space="preserve">$78,000 stipend + $5,000 project expense fund</t>
  </si>
  <si>
    <t xml:space="preserve">Mandel Postdoctoral Fellowships in the Humanities and Jewish Studies</t>
  </si>
  <si>
    <t xml:space="preserve">Mandel Scholion Interdisciplinary Research Center in the Humanities and Jewish Studies</t>
  </si>
  <si>
    <t xml:space="preserve">Approx. 138,000 NIS/year plus research budget</t>
  </si>
  <si>
    <t xml:space="preserve">NIH Director's Early Independence Award (DP5)</t>
  </si>
  <si>
    <t xml:space="preserve">Helsinki Collegium for Advanced Studies (HCAS) Core Fellowship Programme</t>
  </si>
  <si>
    <t xml:space="preserve">Helsinki Collegium for Advanced Studies</t>
  </si>
  <si>
    <t xml:space="preserve">GloCal Health Fellowship</t>
  </si>
  <si>
    <t xml:space="preserve">University of California Global Health Institute (UCGHI)</t>
  </si>
  <si>
    <t xml:space="preserve">Postdoctoral Fellowship in California Conservation Science</t>
  </si>
  <si>
    <t xml:space="preserve">La Kretz Center for California Conservation Science</t>
  </si>
  <si>
    <t xml:space="preserve">Competitive salary, full benefits, and $7,500 research/travel allowance</t>
  </si>
  <si>
    <t xml:space="preserve">Academy Scholars Program</t>
  </si>
  <si>
    <t xml:space="preserve">The Harvard Academy for International and Area Studies</t>
  </si>
  <si>
    <t xml:space="preserve">$80,000/year + $5,000 annual research support</t>
  </si>
  <si>
    <t xml:space="preserve">Michigan Society of Fellows Postdoctoral Fellowship</t>
  </si>
  <si>
    <t xml:space="preserve">University of Michigan Society of Fellows</t>
  </si>
  <si>
    <t xml:space="preserve">Heiser Program for Research in Leprosy</t>
  </si>
  <si>
    <t xml:space="preserve">The New York Community Trust</t>
  </si>
  <si>
    <t xml:space="preserve">$100,000-$250,000 total over two years</t>
  </si>
  <si>
    <t xml:space="preserve">Postdoctoral Fellowship for North American and European Researchers (Short-term)</t>
  </si>
  <si>
    <t xml:space="preserve">Japan Society for the Promotion of Science (JSPS)</t>
  </si>
  <si>
    <t xml:space="preserve">The Berlin Prize</t>
  </si>
  <si>
    <t xml:space="preserve">American Academy in Berlin</t>
  </si>
  <si>
    <t xml:space="preserve">$5,000 monthly stipend plus room, board, and travel</t>
  </si>
  <si>
    <t xml:space="preserve">Marshall Scholarship</t>
  </si>
  <si>
    <t xml:space="preserve">Marshall Aid Commemoration Commission</t>
  </si>
  <si>
    <t xml:space="preserve">American Australian Association Graduate Education Scholarship (USA to Australia)</t>
  </si>
  <si>
    <t xml:space="preserve">American Australian Association</t>
  </si>
  <si>
    <t xml:space="preserve">Up to $40,000 (tuition and living expenses)</t>
  </si>
  <si>
    <t xml:space="preserve">Career Awards for Medical Scientists</t>
  </si>
  <si>
    <t xml:space="preserve">Burroughs Wellcome Fund (BWF)</t>
  </si>
  <si>
    <t xml:space="preserve">$700,000 over 5 years</t>
  </si>
  <si>
    <t xml:space="preserve">Fellowships at the Wilson Center</t>
  </si>
  <si>
    <t xml:space="preserve">Woodrow Wilson International Center for Scholars</t>
  </si>
  <si>
    <t xml:space="preserve">$90,000</t>
  </si>
  <si>
    <t xml:space="preserve">John F. Kennedy Library Foundation Fellowships and Grants</t>
  </si>
  <si>
    <t xml:space="preserve">John F. Kennedy Library Foundation</t>
  </si>
  <si>
    <t xml:space="preserve">$3,100-$5,000</t>
  </si>
  <si>
    <t xml:space="preserve">Selected Professions Fellowships</t>
  </si>
  <si>
    <t xml:space="preserve">American Association of University Women (AAUW)</t>
  </si>
  <si>
    <t xml:space="preserve">$20,000</t>
  </si>
  <si>
    <t xml:space="preserve">SurveyCTO Data Collection Research Grant</t>
  </si>
  <si>
    <t xml:space="preserve">SurveyCTO</t>
  </si>
  <si>
    <t xml:space="preserve">SurveyCTO subscription + up to $3,000 cash</t>
  </si>
  <si>
    <t xml:space="preserve">AIP State Department Fellowship Program</t>
  </si>
  <si>
    <t xml:space="preserve">American Institute of Physics (AIP)</t>
  </si>
  <si>
    <t xml:space="preserve">Franklin Research Grants</t>
  </si>
  <si>
    <t xml:space="preserve">American Philosophical Society (APS)</t>
  </si>
  <si>
    <t xml:space="preserve">Up to $6,500</t>
  </si>
  <si>
    <t xml:space="preserve">Grants-in-Aid of Research Program</t>
  </si>
  <si>
    <t xml:space="preserve">Sigma Xi, The Scientific Research Honor Society</t>
  </si>
  <si>
    <t xml:space="preserve">$500 - $5,000</t>
  </si>
  <si>
    <t xml:space="preserve">Lawrence Fellowship</t>
  </si>
  <si>
    <t xml:space="preserve">Lawrence Livermore National Laboratory (LLNL)</t>
  </si>
  <si>
    <t xml:space="preserve">$12,235/month; 3-year appointment</t>
  </si>
  <si>
    <t xml:space="preserve">LSRF Fellowship</t>
  </si>
  <si>
    <t xml:space="preserve">Life Sciences Research Foundation (LSRF)</t>
  </si>
  <si>
    <t xml:space="preserve">$255,000 total ($85,000/year); $79,000 salary + $6,000 research allowance per year</t>
  </si>
  <si>
    <t xml:space="preserve">Society of Fellows in Critical Bibliography</t>
  </si>
  <si>
    <t xml:space="preserve">Rare Book School, University of Virginia</t>
  </si>
  <si>
    <t xml:space="preserve">Support provided through fellowship program; specifics vary</t>
  </si>
  <si>
    <t xml:space="preserve">K. Patricia Cross Future Leaders Award</t>
  </si>
  <si>
    <t xml:space="preserve">Association of American Colleges and Universities (AAC&amp;U)</t>
  </si>
  <si>
    <t xml:space="preserve">Complimentary conference registration, one-year AAC&amp;U membership, and Liberal Education subscription (no cash award; travel/lodging not covered)</t>
  </si>
  <si>
    <t xml:space="preserve">Residential Fellowships</t>
  </si>
  <si>
    <t xml:space="preserve">National Humanities Center</t>
  </si>
  <si>
    <t xml:space="preserve">Over $1,570,000 in total fellowships awarded; varies by fellowship length (semester or year)</t>
  </si>
  <si>
    <t xml:space="preserve">World Politics and Statecraft Fellowship</t>
  </si>
  <si>
    <t xml:space="preserve">Smith Richardson Foundation (SRF)</t>
  </si>
  <si>
    <t xml:space="preserve">Fulbright U.S. Student Program</t>
  </si>
  <si>
    <t xml:space="preserve">Fully funded; amounts vary by country</t>
  </si>
  <si>
    <t xml:space="preserve">NAEd/Spencer Dissertation Fellowship Program</t>
  </si>
  <si>
    <t xml:space="preserve">National Academy of Education (NAEd)</t>
  </si>
  <si>
    <t xml:space="preserve">$27,500</t>
  </si>
  <si>
    <t xml:space="preserve">National Academy of Education/Spencer Postdoctoral Fellowship</t>
  </si>
  <si>
    <t xml:space="preserve">$70,000</t>
  </si>
  <si>
    <t xml:space="preserve">Miller Research Fellowship</t>
  </si>
  <si>
    <t xml:space="preserve">Miller Institute</t>
  </si>
  <si>
    <t xml:space="preserve">$90,000 - $100,000 plus $10,000 research fund annually</t>
  </si>
  <si>
    <t xml:space="preserve">4 - Find a date</t>
  </si>
  <si>
    <t xml:space="preserve">AGCERF Graduate Scholarships</t>
  </si>
  <si>
    <t xml:space="preserve">Associated General Contractors of America Education and Research Foundation (AGCERF)</t>
  </si>
  <si>
    <t xml:space="preserve">$3,750 per academic year, renewable up to 2 years</t>
  </si>
  <si>
    <t xml:space="preserve">AIGC Fellowships</t>
  </si>
  <si>
    <t xml:space="preserve">American Indian Graduate Center (AIGC)</t>
  </si>
  <si>
    <t xml:space="preserve">$1,000-$5,000/year</t>
  </si>
  <si>
    <t xml:space="preserve">Alan T. Waterman Award</t>
  </si>
  <si>
    <t xml:space="preserve">National Science Foundation (NSF)</t>
  </si>
  <si>
    <t xml:space="preserve">$1,000,000 over five years</t>
  </si>
  <si>
    <t xml:space="preserve">American Druze Foundation (ADF) Post-Doctoral Fellowship</t>
  </si>
  <si>
    <t xml:space="preserve">Georgetown University Center for Contemporary Arab Studies (CCAS)</t>
  </si>
  <si>
    <t xml:space="preserve">$50,000 stipend + $5,000 research fund for one academic year</t>
  </si>
  <si>
    <t xml:space="preserve">American Heart Association Postdoctoral Fellowship</t>
  </si>
  <si>
    <t xml:space="preserve">NIH-matched postdoctoral stipend + $12,200/year health insurance + $1,500/year conference travel</t>
  </si>
  <si>
    <t xml:space="preserve">Applied Epidemiology Fellowship</t>
  </si>
  <si>
    <t xml:space="preserve">Council of State and Territorial Epidemiologists (CSTE)</t>
  </si>
  <si>
    <t xml:space="preserve">ARCE Fellowship Program (Funded Fellowships)</t>
  </si>
  <si>
    <t xml:space="preserve">American Research Center in Egypt (ARCE)</t>
  </si>
  <si>
    <t xml:space="preserve">ASA/NSF Research Fellowship Programs (Federal Statistics)</t>
  </si>
  <si>
    <t xml:space="preserve">American Statistical Association (ASA)</t>
  </si>
  <si>
    <t xml:space="preserve">Stipend commensurate with qualifications/experience; travel and fringe benefits negotiable</t>
  </si>
  <si>
    <t xml:space="preserve">Basic Research Fellowship Program</t>
  </si>
  <si>
    <t xml:space="preserve">American Brain Tumor Association (ABTA)</t>
  </si>
  <si>
    <t xml:space="preserve">$100,000 total ($50,000/year for two years)</t>
  </si>
  <si>
    <t xml:space="preserve">Biegun Warburg Junior Research Fellowship in Human Geography</t>
  </si>
  <si>
    <t xml:space="preserve">St. Anne's College</t>
  </si>
  <si>
    <t xml:space="preserve">Birgit Baldwin Fellowship</t>
  </si>
  <si>
    <t xml:space="preserve">Medieval Academy of America (MAA)</t>
  </si>
  <si>
    <t xml:space="preserve">$20,000/year for up to 2 years</t>
  </si>
  <si>
    <t xml:space="preserve">BPI Polikoff-Gautreaux Fellowship</t>
  </si>
  <si>
    <t xml:space="preserve">Business and Professional People for Public Interest (BPI)</t>
  </si>
  <si>
    <t xml:space="preserve">Catherine Prelinger Award</t>
  </si>
  <si>
    <t xml:space="preserve">Coordinating Council for Women in History (CCWH)</t>
  </si>
  <si>
    <t xml:space="preserve">Cesar E. Chavez Pre-doctoral Fellowship, Dissertation Fellowship for Underrepresented Miniority Scholars</t>
  </si>
  <si>
    <t xml:space="preserve">Dartmouth College</t>
  </si>
  <si>
    <t xml:space="preserve">$49,860/year (predoctoral year) + $67,580/year (postdoctoral year) plus benefits and research allocation</t>
  </si>
  <si>
    <t xml:space="preserve">Congressional Budget Office Summer Internships</t>
  </si>
  <si>
    <t xml:space="preserve">Congressional Budget Office</t>
  </si>
  <si>
    <t xml:space="preserve">Core Fulbright US Scholar Program</t>
  </si>
  <si>
    <t xml:space="preserve">Varies by country; typically covers salary, housing, and travel</t>
  </si>
  <si>
    <t xml:space="preserve">Cota-Robles Second Year Activation</t>
  </si>
  <si>
    <t xml:space="preserve">Full fellowship support for one year (stipend + fee remission)</t>
  </si>
  <si>
    <t xml:space="preserve">Dan Bradley Fellowship</t>
  </si>
  <si>
    <t xml:space="preserve">Legal Aid Association of California (LAAC)</t>
  </si>
  <si>
    <t xml:space="preserve">Up to $12,075</t>
  </si>
  <si>
    <t xml:space="preserve">Daniel B. Goldberg Scholarship</t>
  </si>
  <si>
    <t xml:space="preserve">Girard Miller Foundation</t>
  </si>
  <si>
    <t xml:space="preserve">$10,000–$20,000</t>
  </si>
  <si>
    <t xml:space="preserve">Delta Science Fellows Program</t>
  </si>
  <si>
    <t xml:space="preserve">National Oceanic and Atmospheric Administration (NOAA)</t>
  </si>
  <si>
    <t xml:space="preserve">Up to $110,522/year (postdoctoral) or $94,500/year (PhD students)</t>
  </si>
  <si>
    <t xml:space="preserve">Dissertation Grants</t>
  </si>
  <si>
    <t xml:space="preserve">American Educational Research Association (AERA)</t>
  </si>
  <si>
    <t xml:space="preserve">Diverse Intelligences Summer Institute (DISI) Research Fellow</t>
  </si>
  <si>
    <t xml:space="preserve">Diverse Intelligences Summer Institute (DISI)</t>
  </si>
  <si>
    <t xml:space="preserve">Fellowship covers residential program costs</t>
  </si>
  <si>
    <t xml:space="preserve">Dolores Zohrab Liebmann Fellowship</t>
  </si>
  <si>
    <t xml:space="preserve">Dolores Zohrab Liebmann Fund</t>
  </si>
  <si>
    <t xml:space="preserve">Donald J. Treiman Research Fellowship</t>
  </si>
  <si>
    <t xml:space="preserve">UCLA California Center for Population Research</t>
  </si>
  <si>
    <t xml:space="preserve">$6,000 + $500 travel grant</t>
  </si>
  <si>
    <t xml:space="preserve">Elings Prize Fellowships in Science</t>
  </si>
  <si>
    <t xml:space="preserve">California NanoSystems Institute (CNSI)</t>
  </si>
  <si>
    <t xml:space="preserve">$50,000/year salary support plus $2,500/year travel funds, for two years</t>
  </si>
  <si>
    <t xml:space="preserve">Exobiology and Other Astrobiology (EONS)</t>
  </si>
  <si>
    <t xml:space="preserve">Varies by award; typical multi-year research grant</t>
  </si>
  <si>
    <t xml:space="preserve">Fellowships in Research and Science Teaching (FIRST)</t>
  </si>
  <si>
    <t xml:space="preserve">Emory University School of Medicine</t>
  </si>
  <si>
    <t xml:space="preserve">Postdoctoral stipend with research support</t>
  </si>
  <si>
    <t xml:space="preserve">Foreign Language and Area Studies Fellowships (FLAS)</t>
  </si>
  <si>
    <t xml:space="preserve">UCLA International Institute</t>
  </si>
  <si>
    <t xml:space="preserve">$20,000 stipend + $18,000 tuition/fees</t>
  </si>
  <si>
    <t xml:space="preserve">Franklin Mosher Baldwin Memorial Fellowship</t>
  </si>
  <si>
    <t xml:space="preserve">The Leakey Foundation</t>
  </si>
  <si>
    <t xml:space="preserve">Up to $15,000/year for up to two years</t>
  </si>
  <si>
    <t xml:space="preserve">Frederick Douglass Institute Fellowship Program</t>
  </si>
  <si>
    <t xml:space="preserve">University of Rochester (U of R)</t>
  </si>
  <si>
    <t xml:space="preserve">Fulbright-Hays Doctoral Dissertation Research Abroad (DDRA) Program</t>
  </si>
  <si>
    <t xml:space="preserve">U.S. Department of Education</t>
  </si>
  <si>
    <t xml:space="preserve">Fusion Energy Sciences Postdoctoral Research Program</t>
  </si>
  <si>
    <t xml:space="preserve">U.S. Department of Energy (DOE)</t>
  </si>
  <si>
    <t xml:space="preserve">Monthly stipend + travel allowance</t>
  </si>
  <si>
    <t xml:space="preserve">Graduate Research Fellowship (GRF) Program in STEM</t>
  </si>
  <si>
    <t xml:space="preserve">National Institute of Justice (NIJ)</t>
  </si>
  <si>
    <t xml:space="preserve">Graduate Research Fellowship (GRF) Program in the Social and Behavioral Sciences</t>
  </si>
  <si>
    <t xml:space="preserve">Graduate Student Fellowships</t>
  </si>
  <si>
    <t xml:space="preserve">Stavros Niarchos Foundation</t>
  </si>
  <si>
    <t xml:space="preserve">Harold Gulliksen Psychometric Research Fellowship</t>
  </si>
  <si>
    <t xml:space="preserve">Educational Testing Service (ETS)</t>
  </si>
  <si>
    <t xml:space="preserve">$25,000 stipend plus $8,000 fees/tuition</t>
  </si>
  <si>
    <t xml:space="preserve">Hebrew University Fellowships</t>
  </si>
  <si>
    <t xml:space="preserve">The Lady Davis Fellowship Trust</t>
  </si>
  <si>
    <t xml:space="preserve">Monthly stipend scaled to field and stage; housing assistance provided</t>
  </si>
  <si>
    <t xml:space="preserve">International Development Fellows Program (IDFP)</t>
  </si>
  <si>
    <t xml:space="preserve">Catholic Relief Services (CRS)</t>
  </si>
  <si>
    <t xml:space="preserve">Living stipend + housing + benefits for 12 months</t>
  </si>
  <si>
    <t xml:space="preserve">International Doctoral Program in Energy Science</t>
  </si>
  <si>
    <t xml:space="preserve">Kyoto University</t>
  </si>
  <si>
    <t xml:space="preserve">Israel Studies Graduate Student Research Fellowships</t>
  </si>
  <si>
    <t xml:space="preserve">$2,500-$7,500</t>
  </si>
  <si>
    <t xml:space="preserve">James Madison Fellowships</t>
  </si>
  <si>
    <t xml:space="preserve">James Madison Memorial Fellowship Foundation</t>
  </si>
  <si>
    <t xml:space="preserve">$24,000</t>
  </si>
  <si>
    <t xml:space="preserve">Japan Society for the Promotion of Science (JSPS) Fellowship</t>
  </si>
  <si>
    <t xml:space="preserve">Social Science Research Council (SSRC)</t>
  </si>
  <si>
    <t xml:space="preserve">Jefferson Science Fellowship</t>
  </si>
  <si>
    <t xml:space="preserve">US Department of State</t>
  </si>
  <si>
    <t xml:space="preserve">Joan and Stanford Alexander Award</t>
  </si>
  <si>
    <t xml:space="preserve">Museum of Fine Arts, Houston (MFAH)</t>
  </si>
  <si>
    <t xml:space="preserve">$5,500</t>
  </si>
  <si>
    <t xml:space="preserve">John and Elizabeth Phillips Dissertation Year Fellowship</t>
  </si>
  <si>
    <t xml:space="preserve">Phillips Exeter Academy</t>
  </si>
  <si>
    <t xml:space="preserve">$23,500 stipend plus up to $3,000 for tuition/health insurance</t>
  </si>
  <si>
    <t xml:space="preserve">Kaspar and Siroon Hovannisian Fellowship</t>
  </si>
  <si>
    <t xml:space="preserve">Knowles Science and Teaching Foundation (KSTF) Teaching Fellowship</t>
  </si>
  <si>
    <t xml:space="preserve">Knowles Science Teaching Foundation (KSTF)</t>
  </si>
  <si>
    <t xml:space="preserve">Over $150,000 in total value (tuition assistance, monthly stipends, professional development grants)</t>
  </si>
  <si>
    <t xml:space="preserve">Lilly Graduate Fellows Program (LGFP)</t>
  </si>
  <si>
    <t xml:space="preserve">Valparaiso University (Valpo)</t>
  </si>
  <si>
    <t xml:space="preserve">Fellowship support (varies)</t>
  </si>
  <si>
    <t xml:space="preserve">Lyman T. Johnson Postdoctoral Fellowship</t>
  </si>
  <si>
    <t xml:space="preserve">University of Kentucky (UK)</t>
  </si>
  <si>
    <t xml:space="preserve">$47,476/year + benefits</t>
  </si>
  <si>
    <t xml:space="preserve">McNeil Center for Early American Studies (MCEAS) Dissertation Fellowship Program</t>
  </si>
  <si>
    <t xml:space="preserve">McNeil Center for Early American Studies (MCEAS)</t>
  </si>
  <si>
    <t xml:space="preserve">$32,000</t>
  </si>
  <si>
    <t xml:space="preserve">Multi-Country Research Fellowship Program</t>
  </si>
  <si>
    <t xml:space="preserve">Council of American Overseas Research Center (CAORC)</t>
  </si>
  <si>
    <t xml:space="preserve">$12,600</t>
  </si>
  <si>
    <t xml:space="preserve">NMFS Sea Grant Fellowships: Population and Ecosystem Dynamics, Marine Resource Economics</t>
  </si>
  <si>
    <t xml:space="preserve">National Marine Fisheries Service (NMFS)</t>
  </si>
  <si>
    <t xml:space="preserve">Covers stipend, tuition, fees, and travel for up to 3 years</t>
  </si>
  <si>
    <t xml:space="preserve">Point Scholarship</t>
  </si>
  <si>
    <t xml:space="preserve">Point Foundation</t>
  </si>
  <si>
    <t xml:space="preserve">Average $10,000 per year, renewable up to four years</t>
  </si>
  <si>
    <t xml:space="preserve">Porter Physiology Development Program</t>
  </si>
  <si>
    <t xml:space="preserve">American Physiological Society 12/4/2024(APS)</t>
  </si>
  <si>
    <t xml:space="preserve">$28,300/year stipend + $2,500 research allowance</t>
  </si>
  <si>
    <t xml:space="preserve">Postdoctoral Fellowship in Applied Physics</t>
  </si>
  <si>
    <t xml:space="preserve">U.S. Department of Homeland Security (DHS)</t>
  </si>
  <si>
    <t xml:space="preserve">Open/Rolling</t>
  </si>
  <si>
    <t xml:space="preserve">Competitive stipend commensurate with experience</t>
  </si>
  <si>
    <t xml:space="preserve">Presidential Management Fellows (PMF) Program</t>
  </si>
  <si>
    <t xml:space="preserve">U.S. Office of Personnel Management (OPM)</t>
  </si>
  <si>
    <t xml:space="preserve">Federal salary (GS scale) during 2-year fellowship</t>
  </si>
  <si>
    <t xml:space="preserve">Ray D. Wolfe Postdoctoral Fellowships</t>
  </si>
  <si>
    <t xml:space="preserve">University of Toronto (UToronto)</t>
  </si>
  <si>
    <t xml:space="preserve">$61,000 CAD/year plus $1,000 research support</t>
  </si>
  <si>
    <t xml:space="preserve">Research Fellowship In Cardiovascular Disease Prevention</t>
  </si>
  <si>
    <t xml:space="preserve">NIH NRSA stipend scale + benefits</t>
  </si>
  <si>
    <t xml:space="preserve">Rose and Sam Gilbert Fellowship</t>
  </si>
  <si>
    <t xml:space="preserve">SRC Global Research Collaboration Master's Scholarship Program (GRC MSP)</t>
  </si>
  <si>
    <t xml:space="preserve">Semiconductor Research Corporation (SRC)</t>
  </si>
  <si>
    <t xml:space="preserve">$1,550/month living stipend, tuition and fees for up to 2 years, plus $2,000 annual gift to the student's department</t>
  </si>
  <si>
    <t xml:space="preserve">St. Gallen Wings of Excellence Award</t>
  </si>
  <si>
    <t xml:space="preserve">St. Gallen Symposium</t>
  </si>
  <si>
    <t xml:space="preserve">CHF 20,000 in prize money shared by top winners</t>
  </si>
  <si>
    <t xml:space="preserve">Stewardship Science Graduate Fellowship (SSGF)</t>
  </si>
  <si>
    <t xml:space="preserve">Department of Energy National Nuclear Security Administration (DOE NNSA)</t>
  </si>
  <si>
    <t xml:space="preserve">$42,000/year stipend + $1,000 academic allowance + full tuition and fees, renewable up to four years</t>
  </si>
  <si>
    <t xml:space="preserve">Summer Research Team Program</t>
  </si>
  <si>
    <t xml:space="preserve">Department of Homeland Security</t>
  </si>
  <si>
    <t xml:space="preserve">$950/week for graduate students</t>
  </si>
  <si>
    <t xml:space="preserve">UCLA Alumni Scholarships</t>
  </si>
  <si>
    <t xml:space="preserve">Young Scientists Summer Program</t>
  </si>
  <si>
    <t xml:space="preserve">International Institute for Applied Systems Analysis (IIASA)</t>
  </si>
  <si>
    <t xml:space="preserve">5 - Rolling</t>
  </si>
  <si>
    <t xml:space="preserve">Ahmanson Research Fellowships for the Study of Medieval and Renaissance Books and Manuscripts</t>
  </si>
  <si>
    <t xml:space="preserve">$3,000/month</t>
  </si>
  <si>
    <t xml:space="preserve">Anna Sobol Levy Fellowship</t>
  </si>
  <si>
    <t xml:space="preserve">The Anna Sobol Levy Foundation</t>
  </si>
  <si>
    <t xml:space="preserve">Up to $18,000/year tuition</t>
  </si>
  <si>
    <t xml:space="preserve">Beckman Center Travel Grants (History of Chemistry)</t>
  </si>
  <si>
    <t xml:space="preserve">Beckman Center for the History of Chemistry</t>
  </si>
  <si>
    <t xml:space="preserve">$750/week</t>
  </si>
  <si>
    <t xml:space="preserve">Charles A. Eastman Fellowship</t>
  </si>
  <si>
    <t xml:space="preserve">David B. Larson Fellowship in Health and Spirituality</t>
  </si>
  <si>
    <t xml:space="preserve">John W. Kluge Center, Library of Congress</t>
  </si>
  <si>
    <t xml:space="preserve">$5,000/month stipend for up to 12 months</t>
  </si>
  <si>
    <t xml:space="preserve">Dwight David Eisenhower Transportation Fellowship Program (DDETFP)</t>
  </si>
  <si>
    <t xml:space="preserve">U.S. Department of Transportation, Federal Highway Administration</t>
  </si>
  <si>
    <t xml:space="preserve">Approx. $1M total available annually across up to ~100 awards</t>
  </si>
  <si>
    <t xml:space="preserve">Fellowships in Museum Practice</t>
  </si>
  <si>
    <t xml:space="preserve">Smithsonian Center for Education and Museum Studies (SCEMS)</t>
  </si>
  <si>
    <t xml:space="preserve">$3,500 per month plus round-trip travel to Washington DC</t>
  </si>
  <si>
    <t xml:space="preserve">Graduate Research Aide Appointments</t>
  </si>
  <si>
    <t xml:space="preserve">Argonne National Laboratory</t>
  </si>
  <si>
    <t xml:space="preserve">Competitive salary based on field and year</t>
  </si>
  <si>
    <t xml:space="preserve">Graduate Research Assistant (GRA) Program</t>
  </si>
  <si>
    <t xml:space="preserve">Salary (amount not specified)</t>
  </si>
  <si>
    <t xml:space="preserve">Graduate Student Researchers</t>
  </si>
  <si>
    <t xml:space="preserve">Research assistantship stipend; travel grants up to $1,000</t>
  </si>
  <si>
    <t xml:space="preserve">Humane Studies Fellowships (HSF)</t>
  </si>
  <si>
    <t xml:space="preserve">Institute for Humane Studies (IHS)</t>
  </si>
  <si>
    <t xml:space="preserve">Up to $15,000 per year, renewable</t>
  </si>
  <si>
    <t xml:space="preserve">Humboldt Fellowship for Postdoctoral Researchers</t>
  </si>
  <si>
    <t xml:space="preserve">Alexander Von Humboldt Foundation</t>
  </si>
  <si>
    <t xml:space="preserve">EUR 2,700/month</t>
  </si>
  <si>
    <t xml:space="preserve">Jeane Kirkpatrick Fellowship Program</t>
  </si>
  <si>
    <t xml:space="preserve">American Enterprise Institute (AEI)</t>
  </si>
  <si>
    <t xml:space="preserve">John F. Kennedy Library Foundation Internships</t>
  </si>
  <si>
    <t xml:space="preserve">KCC Japan Education Exchange Graduate Fellowship Program</t>
  </si>
  <si>
    <t xml:space="preserve">Kobe College Corporation - Japan Education Exchange (KCC-JEE)</t>
  </si>
  <si>
    <t xml:space="preserve">$30,000 (one-time)</t>
  </si>
  <si>
    <t xml:space="preserve">Lane Fellows Program</t>
  </si>
  <si>
    <t xml:space="preserve">Carnegie Mellon University</t>
  </si>
  <si>
    <t xml:space="preserve">$65,000/year stipend + $3,000 professional support + benefits for 3 years</t>
  </si>
  <si>
    <t xml:space="preserve">Mendenhall Research Fellowship Program</t>
  </si>
  <si>
    <t xml:space="preserve">United States Geological Survey (USGS)</t>
  </si>
  <si>
    <t xml:space="preserve">Michelson Grants</t>
  </si>
  <si>
    <t xml:space="preserve">Found Animals Foundation</t>
  </si>
  <si>
    <t xml:space="preserve">Up to $50 million total program</t>
  </si>
  <si>
    <t xml:space="preserve">Postdoc Program</t>
  </si>
  <si>
    <t xml:space="preserve">$72,200-$106,000</t>
  </si>
  <si>
    <t xml:space="preserve">Postdoctoral and Predoctoral Fellowships: Graduate Research Training in Alcohol Problems</t>
  </si>
  <si>
    <t xml:space="preserve">Alcohol Research Group</t>
  </si>
  <si>
    <t xml:space="preserve">$64,480-$66,868/year (postdoc) plus benefits</t>
  </si>
  <si>
    <t xml:space="preserve">Postdoctoral Research Associateships</t>
  </si>
  <si>
    <t xml:space="preserve">JILA</t>
  </si>
  <si>
    <t xml:space="preserve">Competitive salary + benefits</t>
  </si>
  <si>
    <t xml:space="preserve">Research Participation Program</t>
  </si>
  <si>
    <t xml:space="preserve">Centers for Disease Control and Prevention (CDC)</t>
  </si>
  <si>
    <t xml:space="preserve">Monthly stipend based on educational level; amounts determined by CDC</t>
  </si>
  <si>
    <t xml:space="preserve">Thurgood Marshall Dissertation Fellowships</t>
  </si>
  <si>
    <t xml:space="preserve">$49,860 (predoctoral) + $67,580 (postdoctoral) plus benefits</t>
  </si>
  <si>
    <t xml:space="preserve">UCLA Center for 17th- &amp; 18th-Century Studies Travel Grants</t>
  </si>
  <si>
    <t xml:space="preserve">Up to $500 domestic; up to $1,000 international</t>
  </si>
  <si>
    <t xml:space="preserve">UCLA Doctoral Student Travel Grants for Conference, Professional Development and Off-Campus Research (DTG)</t>
  </si>
  <si>
    <t xml:space="preserve">Up to $1,000 total reimbursement per student</t>
  </si>
  <si>
    <t xml:space="preserve">Visiting Program for Foreign Scientists</t>
  </si>
  <si>
    <t xml:space="preserve">National Institute of Health (NIH)</t>
  </si>
  <si>
    <t xml:space="preserve">6 - Current</t>
  </si>
  <si>
    <t xml:space="preserve">Mentored Research Scientist Development Awards</t>
  </si>
  <si>
    <t xml:space="preserve">National Human Genome Research Institute (NHGRI)</t>
  </si>
  <si>
    <t xml:space="preserve">Salary and research support for 3–5 years</t>
  </si>
  <si>
    <t xml:space="preserve">Andrew W. Mellon Fellowship of Scholars in the Humanities</t>
  </si>
  <si>
    <t xml:space="preserve">Stanford Humanities Center</t>
  </si>
  <si>
    <t xml:space="preserve">$98,000 stipend/year plus $6,000 research account and $9,000 moving stipend</t>
  </si>
  <si>
    <t xml:space="preserve">CfA Postdoctoral Fellowship</t>
  </si>
  <si>
    <t xml:space="preserve">Harvard-Smithsonian Center for Astrophysics (CFA)</t>
  </si>
  <si>
    <t xml:space="preserve">Clay Postdoctoral Fellowship</t>
  </si>
  <si>
    <t xml:space="preserve">Harvard-Smithsonian Center for Astrophysics</t>
  </si>
  <si>
    <t xml:space="preserve">Dissertation Fellowships for Republic of China Students Abroad</t>
  </si>
  <si>
    <t xml:space="preserve">Chiang Ching-kuo Foundation for International Scholarly Exchange</t>
  </si>
  <si>
    <t xml:space="preserve">Varies; typically supports final dissertation phase</t>
  </si>
  <si>
    <t xml:space="preserve">Fellowships in American Art</t>
  </si>
  <si>
    <t xml:space="preserve">Smithsonian American Art Museum (SAAM)</t>
  </si>
  <si>
    <t xml:space="preserve">$10,000 for 10-week graduate fellows; $45,000/year for predoctoral fellows; $57,000/year for postdoctoral and senior fellows (prorated for shorter terms)</t>
  </si>
  <si>
    <t xml:space="preserve">Hench Post-Dissertation Fellowship</t>
  </si>
  <si>
    <t xml:space="preserve">American Antiquarian Society (AAS)</t>
  </si>
  <si>
    <t xml:space="preserve">$44,000</t>
  </si>
  <si>
    <t xml:space="preserve">Mellon Postdoctoral Fellowships</t>
  </si>
  <si>
    <t xml:space="preserve">$64,000 per year</t>
  </si>
  <si>
    <t xml:space="preserve">Members in the School of Social Science</t>
  </si>
  <si>
    <t xml:space="preserve">Institute of Advanced Study (IAS)</t>
  </si>
  <si>
    <t xml:space="preserve">Varies; includes campus resources and subsidized housing</t>
  </si>
  <si>
    <t xml:space="preserve">Postdoctoral Scholar Program</t>
  </si>
  <si>
    <t xml:space="preserve">At least $71,000/year for 18 months plus benefits</t>
  </si>
  <si>
    <t xml:space="preserve">Smithsonian Institution Fellowship Program (SIFP)</t>
  </si>
  <si>
    <t xml:space="preserve">$10,000-$57,000 annualized stipend depending on level</t>
  </si>
  <si>
    <t xml:space="preserve">Smithsonian Institution Research Fellowships (SIFP) Postdoctoral Fellowships at the Smithsonian Marine Station</t>
  </si>
  <si>
    <t xml:space="preserve">$10,000-$57,000 annually</t>
  </si>
  <si>
    <t xml:space="preserve">NSF Graduate Research Fellowship Program</t>
  </si>
  <si>
    <t xml:space="preserve">$37,000 annual stipend plus $16,000 annual cost of education allowance for three years within five-year fellowship</t>
  </si>
  <si>
    <t xml:space="preserve">Cornell Atkinson Postdoctoral Fellowship in Sustainability</t>
  </si>
  <si>
    <t xml:space="preserve">Cornell University</t>
  </si>
  <si>
    <t xml:space="preserve">Stipend (amount not specified); professional development support</t>
  </si>
  <si>
    <t xml:space="preserve">Mathematical Sciences Postdoctoral Research Fellowships (MSPRF)</t>
  </si>
  <si>
    <t xml:space="preserve">Varies based on fellowship option; supports research in mathematics and statistics</t>
  </si>
  <si>
    <t xml:space="preserve">Graduate Research Student Internships (GRSI)</t>
  </si>
  <si>
    <t xml:space="preserve">Oak Ridge Institute for Science and Education (ORISE)</t>
  </si>
  <si>
    <t xml:space="preserve">Biweekly stipend based on education level; travel reimbursement up to $1,000 for those 50+ miles away</t>
  </si>
  <si>
    <t xml:space="preserve">ASP Postdoctoral Fellow Program</t>
  </si>
  <si>
    <t xml:space="preserve">National Center for Atmospheric Research (NCAR)</t>
  </si>
  <si>
    <t xml:space="preserve">Competitive salary + benefits for 2 years</t>
  </si>
  <si>
    <t xml:space="preserve">Diversity Fellowship Program</t>
  </si>
  <si>
    <t xml:space="preserve">American Political Science Association (APSA)</t>
  </si>
  <si>
    <t xml:space="preserve">$2,000-$5,000</t>
  </si>
  <si>
    <t xml:space="preserve">Gilliam Fellowships for Advanced Study</t>
  </si>
  <si>
    <t xml:space="preserve">Howard Hughes Medical Institute (HHMI)</t>
  </si>
  <si>
    <t xml:space="preserve">$53,000/year (including $36,000 stipend + $10,000 institutional allowance + $4,000 discretionary + $3,000 community engagement)</t>
  </si>
  <si>
    <t xml:space="preserve">Division of Earth Science EAR Postdoctoral Fellowship (EAR-PF)</t>
  </si>
  <si>
    <t xml:space="preserve">Division of Earth Science (EAR)</t>
  </si>
  <si>
    <t xml:space="preserve">Luce/ACLS Dissertation Fellowships in American Art</t>
  </si>
  <si>
    <t xml:space="preserve">Henry Luce Foundation</t>
  </si>
  <si>
    <t xml:space="preserve">$42,500 ($38,000 stipend + $4,500 travel/research allowance)</t>
  </si>
  <si>
    <t xml:space="preserve">The Robert H. N. Ho Family Foundation Dissertation Fellowships in Buddhist Studies</t>
  </si>
  <si>
    <t xml:space="preserve">The Robert H. N. Ho Family Foundation</t>
  </si>
  <si>
    <t xml:space="preserve">$35,000 plus up to $5,000 supplement</t>
  </si>
  <si>
    <t xml:space="preserve">Fellowships for New Americans</t>
  </si>
  <si>
    <t xml:space="preserve">Paul and Daisy Soros</t>
  </si>
  <si>
    <t xml:space="preserve">Up to $90,000 over two years ($40,000 tuition + $50,000 stipend)</t>
  </si>
  <si>
    <t xml:space="preserve">Fannie and John Hertz Graduate Fellowship Award</t>
  </si>
  <si>
    <t xml:space="preserve">The Hertz Foundation</t>
  </si>
  <si>
    <t xml:space="preserve">Up to $250,000 over 5 years</t>
  </si>
  <si>
    <t xml:space="preserve">Graduate Study Scholarship Master Study in Germany</t>
  </si>
  <si>
    <t xml:space="preserve">German Academic Exchange Service (DAAD)</t>
  </si>
  <si>
    <t xml:space="preserve">€992-€1,300 monthly (varies by program) plus travel allowance and insurance</t>
  </si>
  <si>
    <t xml:space="preserve">National Defense Science and Engineering Graduate Fellowship</t>
  </si>
  <si>
    <t xml:space="preserve">Department of Defense (DoD)</t>
  </si>
  <si>
    <t xml:space="preserve">$40,800 annual stipend; covers full tuition and mandatory fees over three years plus travel and health insurance budgets</t>
  </si>
  <si>
    <t xml:space="preserve">PhRMA Foundation Postdoctoral Fellowships</t>
  </si>
  <si>
    <t xml:space="preserve">Pharmaceutical Research and Manufacturers of America (PhRMA) Foundation</t>
  </si>
  <si>
    <t xml:space="preserve">$60,000 per year for up to 2 years</t>
  </si>
  <si>
    <t xml:space="preserve">Postdoctoral Research Program</t>
  </si>
  <si>
    <t xml:space="preserve">Columbia University Climate School</t>
  </si>
  <si>
    <t xml:space="preserve">$72,116/year plus $12,000 research stipend</t>
  </si>
  <si>
    <t xml:space="preserve">University Summer Course Grant</t>
  </si>
  <si>
    <t xml:space="preserve">American Concrete Institute Foundation Fellowship</t>
  </si>
  <si>
    <t xml:space="preserve">American Concrete Institute (ACI) Foundation Scholarship Council</t>
  </si>
  <si>
    <t xml:space="preserve">$10,000 stipend plus convention travel</t>
  </si>
  <si>
    <t xml:space="preserve">Chancellor's Postdoctoral Fellowship Program for Academic Diversity</t>
  </si>
  <si>
    <t xml:space="preserve">Charlotte W. Newcombe Doctoral Dissertation Fellowship</t>
  </si>
  <si>
    <t xml:space="preserve">The Woodrow Wilson Foundation</t>
  </si>
  <si>
    <t xml:space="preserve">$31,000 stipend for final year of dissertation writing</t>
  </si>
  <si>
    <t xml:space="preserve">Du Bois-Mandela-Rodney Postdoctoral Fellowship</t>
  </si>
  <si>
    <t xml:space="preserve">University of Michigan (UMich)</t>
  </si>
  <si>
    <t xml:space="preserve">$56,000 package ($52,000 stipend + benefits, $3,000 research/travel, $1,000 relocation)</t>
  </si>
  <si>
    <t xml:space="preserve">Dumbarton Oaks Research Fellowships</t>
  </si>
  <si>
    <t xml:space="preserve">Dumbarton Oaks Research Library and Collection</t>
  </si>
  <si>
    <t xml:space="preserve">$25,000-$35,000 for academic year; $2,400 for eight-week summer</t>
  </si>
  <si>
    <t xml:space="preserve">Fellowships For Americans</t>
  </si>
  <si>
    <t xml:space="preserve">The American-Scandinavian Foundation (ASF)</t>
  </si>
  <si>
    <t xml:space="preserve">Up to $23,000 for year-long; up to $5,000 for 1-3 months</t>
  </si>
  <si>
    <t xml:space="preserve">Leo Baeck Institute - DAAD Fellowship</t>
  </si>
  <si>
    <t xml:space="preserve">Leo Baeck Institute (LBI)</t>
  </si>
  <si>
    <t xml:space="preserve">NRC Research Associateship Programs (RAP)</t>
  </si>
  <si>
    <t xml:space="preserve">National Research Council (NRC)</t>
  </si>
  <si>
    <t xml:space="preserve">Competitive postdoctoral stipend (varies)</t>
  </si>
  <si>
    <t xml:space="preserve">Postdoctoral Program</t>
  </si>
  <si>
    <t xml:space="preserve">NASA</t>
  </si>
  <si>
    <t xml:space="preserve">Includes health insurance, research allowance ($10,000/year), professional development, relocation reimbursement</t>
  </si>
  <si>
    <t xml:space="preserve">President's Postdoctoral Fellowship Program</t>
  </si>
  <si>
    <t xml:space="preserve">University of California (UC)</t>
  </si>
  <si>
    <t xml:space="preserve">$69,073 annual salary plus $5,000 research and professional development expenses</t>
  </si>
  <si>
    <t xml:space="preserve">Research Grants in Germany</t>
  </si>
  <si>
    <t xml:space="preserve">$2,000-$3,000</t>
  </si>
  <si>
    <t xml:space="preserve">Rome Prize</t>
  </si>
  <si>
    <t xml:space="preserve">American Academy In Rome</t>
  </si>
  <si>
    <t xml:space="preserve">Stipend, bedroom with private bath, and private workspace provided</t>
  </si>
  <si>
    <t xml:space="preserve">Science and Technology Policy Fellowships</t>
  </si>
  <si>
    <t xml:space="preserve">American Association for the Advancement of Science (AAAS)</t>
  </si>
  <si>
    <t xml:space="preserve">Includes yearlong stipend and professional development</t>
  </si>
  <si>
    <t xml:space="preserve">The Woodrow Wilson Doctoral Dissertation Fellowship In Women's Studies</t>
  </si>
  <si>
    <t xml:space="preserve">The Woodrow Wilson National Fellowship Foundation</t>
  </si>
  <si>
    <t xml:space="preserve">Resident Scholar Fellowships</t>
  </si>
  <si>
    <t xml:space="preserve">School for Advanced Research (SAR)</t>
  </si>
  <si>
    <t xml:space="preserve">Getty Graduate Internships</t>
  </si>
  <si>
    <t xml:space="preserve">The Getty Foundation / J. Paul Getty Trust</t>
  </si>
  <si>
    <t xml:space="preserve">$52,500 for 12 months plus $1,500 relocation</t>
  </si>
  <si>
    <t xml:space="preserve">DOE Office of Science Graduate Student Research Fellowship (SCGSR) Program</t>
  </si>
  <si>
    <t xml:space="preserve">U.S. Department of Energy (DOE) Office of Science (SC)</t>
  </si>
  <si>
    <t xml:space="preserve">Up to $3,000/month stipend + up to $2,000 travel reimbursement</t>
  </si>
  <si>
    <t xml:space="preserve">Luce/ACLS Early Career Fellowships in China Studies</t>
  </si>
  <si>
    <t xml:space="preserve">$15,000 - $45,000</t>
  </si>
  <si>
    <t xml:space="preserve">Postdoctoral Research Fellowships in California</t>
  </si>
  <si>
    <t xml:space="preserve">A. P. Giannini Foundation</t>
  </si>
  <si>
    <t xml:space="preserve">$70,000/year for three years</t>
  </si>
  <si>
    <t xml:space="preserve">Graduate Student Travel Grants</t>
  </si>
  <si>
    <t xml:space="preserve">$400</t>
  </si>
  <si>
    <t xml:space="preserve">Killam Postdoctoral Research Fellowship</t>
  </si>
  <si>
    <t xml:space="preserve">Izaak Walton Killam Memorial Fund for Advanced Studies</t>
  </si>
  <si>
    <t xml:space="preserve">$60,000 annually</t>
  </si>
  <si>
    <t xml:space="preserve">Executive Fellowship Program</t>
  </si>
  <si>
    <t xml:space="preserve">Center for California Studies at California State University, Sacramento (CSUS)</t>
  </si>
  <si>
    <t xml:space="preserve">~$3,000/month stipend for 11 months</t>
  </si>
  <si>
    <t xml:space="preserve">Individual Grants</t>
  </si>
  <si>
    <t xml:space="preserve">Asian Cultural Council (ACC)</t>
  </si>
  <si>
    <t xml:space="preserve">Varies by program</t>
  </si>
  <si>
    <t xml:space="preserve">Jesse M. Unruh Assembly Fellowship Program</t>
  </si>
  <si>
    <t xml:space="preserve">California State University, Sacramento (CSUS)</t>
  </si>
  <si>
    <t xml:space="preserve">Judicial Administration Fellowship Program</t>
  </si>
  <si>
    <t xml:space="preserve">College Internship</t>
  </si>
  <si>
    <t xml:space="preserve">The Dow Jones News Fund (DJNF)</t>
  </si>
  <si>
    <t xml:space="preserve">$1,500 scholarship plus paid internship</t>
  </si>
  <si>
    <t xml:space="preserve">Japan Exchange and Teaching Program</t>
  </si>
  <si>
    <t xml:space="preserve">Ministry of Internal Affairs and Communications</t>
  </si>
  <si>
    <t xml:space="preserve">Full-time employment salary + benefits</t>
  </si>
  <si>
    <t xml:space="preserve">Amelia Earhart Fellowship</t>
  </si>
  <si>
    <t xml:space="preserve">Zonta International Foundation</t>
  </si>
  <si>
    <t xml:space="preserve">Carter Manny Award</t>
  </si>
  <si>
    <t xml:space="preserve">The Graham Foundation</t>
  </si>
  <si>
    <t xml:space="preserve">Gaius Charles Bolin Dissertation and Post-MFA Fellowships</t>
  </si>
  <si>
    <t xml:space="preserve">Williams College</t>
  </si>
  <si>
    <t xml:space="preserve">$60,000 annual stipend (2027 cohort)</t>
  </si>
  <si>
    <t xml:space="preserve">National Museum of the American Indian (NMAI) Internship Program</t>
  </si>
  <si>
    <t xml:space="preserve">National Museum of the American Indian (NMAI)</t>
  </si>
  <si>
    <t xml:space="preserve">Varies by position</t>
  </si>
  <si>
    <t xml:space="preserve">Postdoctoral Research Fellowship Innovation Grants</t>
  </si>
  <si>
    <t xml:space="preserve">American Foundation for Suicide Prevention (AFSP)</t>
  </si>
  <si>
    <t xml:space="preserve">Up to $140,000 over 2 years ($56,000/year stipend + $14,000/year institutional allowance)</t>
  </si>
  <si>
    <t xml:space="preserve">Supreme Court Fellows Program</t>
  </si>
  <si>
    <t xml:space="preserve">Supreme Court of the United States</t>
  </si>
  <si>
    <t xml:space="preserve">$120,579 (equivalent to GS-13/1 federal salary)</t>
  </si>
  <si>
    <t xml:space="preserve">Richard Gilder Graduate School (RGGS) Postdoctoral Research Fellowships</t>
  </si>
  <si>
    <t xml:space="preserve">American Museum of Natural History</t>
  </si>
  <si>
    <t xml:space="preserve">Aging Research Dissertation Awards to Increase Diversity</t>
  </si>
  <si>
    <t xml:space="preserve">$42,500 salary/year + $28,656 additional expenses</t>
  </si>
  <si>
    <t xml:space="preserve">Critical Language Scholarship (CLS) Program</t>
  </si>
  <si>
    <t xml:space="preserve">Fully funded (travel, tuition, room/board covered)</t>
  </si>
  <si>
    <t xml:space="preserve">AIIS Research Fellowships</t>
  </si>
  <si>
    <t xml:space="preserve">American Institute of Indian Studies (AIIS)</t>
  </si>
  <si>
    <t xml:space="preserve">$7,000 (Junior); varies for Senior</t>
  </si>
  <si>
    <t xml:space="preserve">Leifur Eiríksson Foundation Scholarship</t>
  </si>
  <si>
    <t xml:space="preserve">Leifur Eiriksson Foundation</t>
  </si>
  <si>
    <t xml:space="preserve">Up to $25,000 including travel</t>
  </si>
  <si>
    <t xml:space="preserve">Mahindra Humanities Center Postdoctoral Fellowships</t>
  </si>
  <si>
    <t xml:space="preserve">Mahindra Humanities Center at Harvard University</t>
  </si>
  <si>
    <t xml:space="preserve">Newberry Library Long-Term Fellowships</t>
  </si>
  <si>
    <t xml:space="preserve">The Newberry Library</t>
  </si>
  <si>
    <t xml:space="preserve">$5,000/month stipend</t>
  </si>
  <si>
    <t xml:space="preserve">History of Art Institutional Fellowships (Kress Institutional Fellowships in the History of European Art)</t>
  </si>
  <si>
    <t xml:space="preserve">The Samuel H. Kress Foundation</t>
  </si>
  <si>
    <t xml:space="preserve">$45,000/year starting fall 2026</t>
  </si>
  <si>
    <t xml:space="preserve">Naval Research Enterprise Internship Program (NREIP)</t>
  </si>
  <si>
    <t xml:space="preserve">US Dept. of the Navy</t>
  </si>
  <si>
    <t xml:space="preserve">Paid internship (salary varies)</t>
  </si>
  <si>
    <t xml:space="preserve">Ph.D. &amp; Senior Fellowship Competition</t>
  </si>
  <si>
    <t xml:space="preserve">Center for Khmer Studies (CKS)</t>
  </si>
  <si>
    <t xml:space="preserve">Up to 11 months; stipend based on project and duration</t>
  </si>
  <si>
    <t xml:space="preserve">American Cancer Society Postdoctoral Fellowships</t>
  </si>
  <si>
    <t xml:space="preserve">American Cancer Society (ACS)</t>
  </si>
  <si>
    <t xml:space="preserve">$66,000-$70,000/year</t>
  </si>
  <si>
    <t xml:space="preserve">American Lung Association Research Grants</t>
  </si>
  <si>
    <t xml:space="preserve">American Lung Association (ALA)</t>
  </si>
  <si>
    <t xml:space="preserve">$21,000/year (Lung Health Dissertation Grant)</t>
  </si>
  <si>
    <t xml:space="preserve">Berlin Program for Advanced German and European Studies</t>
  </si>
  <si>
    <t xml:space="preserve">Freie Universitat Berlin</t>
  </si>
  <si>
    <t xml:space="preserve">Ellison Scholars</t>
  </si>
  <si>
    <t xml:space="preserve">Ellison Institute of Technology</t>
  </si>
  <si>
    <t xml:space="preserve">Grass Fellowship</t>
  </si>
  <si>
    <t xml:space="preserve">The Grass Foundation</t>
  </si>
  <si>
    <t xml:space="preserve">James and Sylvia Thayer Short-Term Research Fellowships</t>
  </si>
  <si>
    <t xml:space="preserve">University of California, Los Angeles (UCLA) Library Special Collections</t>
  </si>
  <si>
    <t xml:space="preserve">$500-$2,500 stipends (averages $1,500-$1,770 depending on year)</t>
  </si>
  <si>
    <t xml:space="preserve">Japanese Studies Fellowship Program for Doctoral Candidates</t>
  </si>
  <si>
    <t xml:space="preserve">Japan Foundation</t>
  </si>
  <si>
    <t xml:space="preserve">Scholars-in-Residence Program</t>
  </si>
  <si>
    <t xml:space="preserve">The Schomburg Center for Research in Black Culture (NYPL)</t>
  </si>
  <si>
    <t xml:space="preserve">Newberry Library Short-Term Fellowships</t>
  </si>
  <si>
    <t xml:space="preserve">SMART Scholarship-for-Service Program</t>
  </si>
  <si>
    <t xml:space="preserve">Full tuition, annual stipend, health insurance allowance, book allowance, and paid summer internships</t>
  </si>
  <si>
    <t xml:space="preserve">Albright Institute of Archaeological Research Fellowships (Jerusalem)</t>
  </si>
  <si>
    <t xml:space="preserve">$3,000–$20,000 depending on fellowship type</t>
  </si>
  <si>
    <t xml:space="preserve">Graduate and Predoctoral Fellowships in Ethnic Studies</t>
  </si>
  <si>
    <t xml:space="preserve">UCLA Institute of American Cultures</t>
  </si>
  <si>
    <t xml:space="preserve">Tuition + $6,000-$7,400/quarter</t>
  </si>
  <si>
    <t xml:space="preserve">Predoctoral Individual National Research Service Award (F31)</t>
  </si>
  <si>
    <t xml:space="preserve">Stipend, tuition/fees, institutional allowance</t>
  </si>
  <si>
    <t xml:space="preserve">Ruth L. Kirschstein National Research Service Awards for Individual Predoctoral Fellowships to Promote Diversity in Health-Related Research Ruth L Kirschstein National Research Service Award (NRSA) Predoctoral Fellowship to Promote Diversity in Health-Related Research</t>
  </si>
  <si>
    <t xml:space="preserve">NIH stipend rates + tuition/fees contribution + institutional allowance</t>
  </si>
  <si>
    <t xml:space="preserve">Switzer Fellowship Program</t>
  </si>
  <si>
    <t xml:space="preserve">Robert &amp; Patricia Switzer Foundation</t>
  </si>
  <si>
    <t xml:space="preserve">TOEFL Grants for Doctoral Research in Language Assessment</t>
  </si>
  <si>
    <t xml:space="preserve">Test of English as a Foreign Language (TOEFL)</t>
  </si>
  <si>
    <t xml:space="preserve">Up to $3,000 per award (up to 5 awards annually)</t>
  </si>
  <si>
    <t xml:space="preserve">Congressional Fellowship</t>
  </si>
  <si>
    <t xml:space="preserve">The Asian Pacific American Institute for Congressional Studies (APAICS)</t>
  </si>
  <si>
    <t xml:space="preserve">$3,700/month educational stipend plus living stipend and health insurance</t>
  </si>
  <si>
    <t xml:space="preserve">Daniel and Florence Guggenheim Fellowship</t>
  </si>
  <si>
    <t xml:space="preserve">Smithsonian National Air and Space Museum</t>
  </si>
  <si>
    <t xml:space="preserve">$40,000-$55,000 per year</t>
  </si>
  <si>
    <t xml:space="preserve">Harvard Postdoctoral Fellowships in Japanese Studies</t>
  </si>
  <si>
    <t xml:space="preserve">Harvard University Reischauer Institute of Japanese Studies</t>
  </si>
  <si>
    <t xml:space="preserve">$70,000 stipend plus $5,000 research funds</t>
  </si>
  <si>
    <t xml:space="preserve">Climate Corps Fellow</t>
  </si>
  <si>
    <t xml:space="preserve">Environmental Defense Fund (EDF)</t>
  </si>
  <si>
    <t xml:space="preserve">$1,400+/week + $1,400 Foundations Week</t>
  </si>
  <si>
    <t xml:space="preserve">Blakemore Freeman Fellowships</t>
  </si>
  <si>
    <t xml:space="preserve">Blakemore Foundation</t>
  </si>
  <si>
    <t xml:space="preserve">Full tuition plus stipend for living, travel, and study expenses</t>
  </si>
  <si>
    <t xml:space="preserve">Fellowship Program Research Fellowships</t>
  </si>
  <si>
    <t xml:space="preserve">Mount Vernon Ladies' Association of the Union</t>
  </si>
  <si>
    <t xml:space="preserve">Stipend + on-site housing; length and amount vary by fellowship type</t>
  </si>
  <si>
    <t xml:space="preserve">Research Travel Grants</t>
  </si>
  <si>
    <t xml:space="preserve">Cushwa Center for the Study of American Catholicism</t>
  </si>
  <si>
    <t xml:space="preserve">NIH Bioethics Fellowship</t>
  </si>
  <si>
    <t xml:space="preserve">National Insitutes of Health</t>
  </si>
  <si>
    <t xml:space="preserve">Fully funded</t>
  </si>
  <si>
    <t xml:space="preserve">Mass Media Science &amp; Engineering Fellows Program</t>
  </si>
  <si>
    <t xml:space="preserve">Approximately $9,000 for summer internship</t>
  </si>
  <si>
    <t xml:space="preserve">Walter Byers Scholarship Program</t>
  </si>
  <si>
    <t xml:space="preserve">National Collegiate Athletic Association (NCAA)</t>
  </si>
  <si>
    <t xml:space="preserve">$24,000 (renewable for second year)</t>
  </si>
  <si>
    <t xml:space="preserve">DOE Computational Science Graduate Fellowship</t>
  </si>
  <si>
    <t xml:space="preserve">Department of Energy (DOE)</t>
  </si>
  <si>
    <t xml:space="preserve">$38,000 annual stipend plus full tuition coverage</t>
  </si>
  <si>
    <t xml:space="preserve">Leakey Foundation Research Grant</t>
  </si>
  <si>
    <t xml:space="preserve">$3,000-$20,000 for doctoral students; up to $30,000 for post-PhD</t>
  </si>
  <si>
    <t xml:space="preserve">Short-Term Visiting Academic Research Fellowships</t>
  </si>
  <si>
    <t xml:space="preserve">Varies by specific fellowship (covers room and board)</t>
  </si>
  <si>
    <t xml:space="preserve">Short-Term Fellowships in Colonial and U.S. History and Culture</t>
  </si>
  <si>
    <t xml:space="preserve">$3,000 per month</t>
  </si>
  <si>
    <t xml:space="preserve">David L. Boren Fellowship</t>
  </si>
  <si>
    <t xml:space="preserve">National Security Education Program (NSEP)</t>
  </si>
  <si>
    <t xml:space="preserve">Up to $30,000</t>
  </si>
  <si>
    <t xml:space="preserve">Graduate Fellowships In the Physical Sciences</t>
  </si>
  <si>
    <t xml:space="preserve">National Physical Science Consortium (NPSC)</t>
  </si>
  <si>
    <t xml:space="preserve">$20,000 annually, renewable for 3–6 years</t>
  </si>
  <si>
    <t xml:space="preserve">Mary Isabel Sibley Fellowship</t>
  </si>
  <si>
    <t xml:space="preserve">Phi Beta Kappa Society</t>
  </si>
  <si>
    <t xml:space="preserve">Udall Foundation Native American Congressional Internship</t>
  </si>
  <si>
    <t xml:space="preserve">Udall Foundation</t>
  </si>
  <si>
    <t xml:space="preserve">Paid stipend, travel, and housing covered</t>
  </si>
  <si>
    <t xml:space="preserve">Walter J. Jensen Fellowship</t>
  </si>
  <si>
    <t xml:space="preserve">Alfred G. and Elma M. Milotte Scholarship</t>
  </si>
  <si>
    <t xml:space="preserve">Northwest Trustee &amp; Management Services</t>
  </si>
  <si>
    <t xml:space="preserve">$4,000</t>
  </si>
  <si>
    <t xml:space="preserve">Clark Fellowships</t>
  </si>
  <si>
    <t xml:space="preserve">FRAXA Research Foundation Postdoctoral Fellowships</t>
  </si>
  <si>
    <t xml:space="preserve">Fraxa Research Foundation</t>
  </si>
  <si>
    <t xml:space="preserve">$50,000 per year for up to 2 years</t>
  </si>
  <si>
    <t xml:space="preserve">Harry Frank Guggenheim Foundation Dissertation Fellowships</t>
  </si>
  <si>
    <t xml:space="preserve">The Harry Frank Guggenheim Foundation</t>
  </si>
  <si>
    <t xml:space="preserve">Jane Coffin Childs Memorial Fund</t>
  </si>
  <si>
    <t xml:space="preserve">Jane Coffin Childs Memorial Fund for Medical Research</t>
  </si>
  <si>
    <t xml:space="preserve">Three-year postdoctoral salary support</t>
  </si>
  <si>
    <t xml:space="preserve">Kanner Fellowship in British Studies</t>
  </si>
  <si>
    <t xml:space="preserve">$69,073 for three consecutive quarters in residence</t>
  </si>
  <si>
    <t xml:space="preserve">Korean Studies Scholarship Program</t>
  </si>
  <si>
    <t xml:space="preserve">Association for Asian Studies (AAS)</t>
  </si>
  <si>
    <t xml:space="preserve">National Fellowship</t>
  </si>
  <si>
    <t xml:space="preserve">Jefferson Scholars Program</t>
  </si>
  <si>
    <t xml:space="preserve">$30,000/year</t>
  </si>
  <si>
    <t xml:space="preserve">Partnership for Clean Competition Fellowship Program</t>
  </si>
  <si>
    <t xml:space="preserve">Partnership for Clean Competition (PCC)</t>
  </si>
  <si>
    <t xml:space="preserve">$60,000 annually for 2 years (up to $37,500 year 3)</t>
  </si>
  <si>
    <t xml:space="preserve">Research Grant Program in Ethnic Studies</t>
  </si>
  <si>
    <t xml:space="preserve">$7,000-$10,000</t>
  </si>
  <si>
    <t xml:space="preserve">Wilde-Holland Fellowship</t>
  </si>
  <si>
    <t xml:space="preserve">$4,000/month</t>
  </si>
  <si>
    <t xml:space="preserve">Summer Internship Program</t>
  </si>
  <si>
    <t xml:space="preserve">Monterey Bay Aquarium Research Institute (MBARI)</t>
  </si>
  <si>
    <t xml:space="preserve">$23/hour + shared housing</t>
  </si>
  <si>
    <t xml:space="preserve">Post-Graduate Fellowships</t>
  </si>
  <si>
    <t xml:space="preserve">American Center of Oriental Research (ACOR)</t>
  </si>
  <si>
    <t xml:space="preserve">Graduate Student Grant-in-Aid</t>
  </si>
  <si>
    <t xml:space="preserve">American Society of Heating, Refrigeration, and Air-conditioning Engineers (ASHRAE)</t>
  </si>
  <si>
    <t xml:space="preserve">$7,500</t>
  </si>
  <si>
    <t xml:space="preserve">Herbert Hoover Research Travel Grant</t>
  </si>
  <si>
    <t xml:space="preserve">The Hoover Presidential Foundation</t>
  </si>
  <si>
    <t xml:space="preserve">$500-$2,000</t>
  </si>
  <si>
    <t xml:space="preserve">Library Resident Research Fellowship</t>
  </si>
  <si>
    <t xml:space="preserve">Phillips Fund for North Native American Research Grants</t>
  </si>
  <si>
    <t xml:space="preserve">Average grant ~$3,000 (up to $3,500)</t>
  </si>
  <si>
    <t xml:space="preserve">Bliss Symposium Awards</t>
  </si>
  <si>
    <t xml:space="preserve">Dumbarton Oaks</t>
  </si>
  <si>
    <t xml:space="preserve">$1,000–$1,500 travel reimbursement; symposium registration waived</t>
  </si>
  <si>
    <t xml:space="preserve">Capitol Fellowship</t>
  </si>
  <si>
    <t xml:space="preserve">United States Capitol Historical Society (USCHS)</t>
  </si>
  <si>
    <t xml:space="preserve">$2,500/month</t>
  </si>
  <si>
    <t xml:space="preserve">Post-PhD Research Grants</t>
  </si>
  <si>
    <t xml:space="preserve">The Wenner-Gren Foundation</t>
  </si>
  <si>
    <t xml:space="preserve">Up to $25,000</t>
  </si>
  <si>
    <t xml:space="preserve">NOSAMS Graduate Student Internship Program</t>
  </si>
  <si>
    <t xml:space="preserve">Analytical costs, travel, accommodation, and subsistence covered</t>
  </si>
  <si>
    <t xml:space="preserve">ACSUS-Enders Graduate Fellowship in Canada-U.S. Relations</t>
  </si>
  <si>
    <t xml:space="preserve">Association for Canadian Studies in the United States (ACSUS)</t>
  </si>
  <si>
    <t xml:space="preserve">Progress</t>
  </si>
  <si>
    <t xml:space="preserve">Listings</t>
  </si>
  <si>
    <t xml:space="preserve">Checked</t>
  </si>
  <si>
    <t xml:space="preserve">Remaining</t>
  </si>
  <si>
    <t xml:space="preserve">% done</t>
  </si>
  <si>
    <t xml:space="preserve">Total</t>
  </si>
  <si>
    <t xml:space="preserve">By status</t>
  </si>
  <si>
    <t xml:space="preserve">Count</t>
  </si>
  <si>
    <t xml:space="preserve">No change needed</t>
  </si>
  <si>
    <t xml:space="preserve">Not posted yet</t>
  </si>
  <si>
    <t xml:space="preserve">Discontinued / paused</t>
  </si>
  <si>
    <t xml:space="preserve">Link broken - new link found</t>
  </si>
  <si>
    <t xml:space="preserve">Link broken - not found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</si>
</sst>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&quot;, &quot;yyyy"/>
    <numFmt numFmtId="166" formatCode="0;\-0;0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7791F"/>
        <bgColor rgb="FFFF6600"/>
      </patternFill>
    </fill>
    <fill>
      <patternFill patternType="solid">
        <fgColor rgb="FFFFF7D6"/>
        <bgColor rgb="FFE8F3EA"/>
      </patternFill>
    </fill>
    <fill>
      <patternFill patternType="solid">
        <fgColor rgb="FF2D68C4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D68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>
          <bgColor rgb="FFE8F3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0C0C0"/>
      <rgbColor rgb="FF808080"/>
      <rgbColor rgb="FF9999FF"/>
      <rgbColor rgb="FF993366"/>
      <rgbColor rgb="FFFFF7D6"/>
      <rgbColor rgb="FFE8F3EA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D68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ostdocs.upenn.edu/provosts-fellowship/provosts-postdoctoral-fellowship/" TargetMode="External"/><Relationship Id="rId2" Type="http://schemas.openxmlformats.org/officeDocument/2006/relationships/hyperlink" Target="https://www.metmuseum.org/opportunities/fellowships/fellowship-in-history-of-art-and-visual-culture" TargetMode="External"/><Relationship Id="rId3" Type="http://schemas.openxmlformats.org/officeDocument/2006/relationships/hyperlink" Target="https://www.metmuseum.org/opportunities/fellowships/leonard-a-lauder-fellowships-in-modern-art" TargetMode="External"/><Relationship Id="rId4" Type="http://schemas.openxmlformats.org/officeDocument/2006/relationships/hyperlink" Target="https://iis.berkeley.edu/fellowships-grants/graduate-fellowships/pre-dissertation-research-grant-international-studies" TargetMode="External"/><Relationship Id="rId5" Type="http://schemas.openxmlformats.org/officeDocument/2006/relationships/hyperlink" Target="https://seg.org/programs/student-programs/scholarships/" TargetMode="External"/><Relationship Id="rId6" Type="http://schemas.openxmlformats.org/officeDocument/2006/relationships/hyperlink" Target="https://www.lls.org/research/career-development-program-cdp" TargetMode="External"/><Relationship Id="rId7" Type="http://schemas.openxmlformats.org/officeDocument/2006/relationships/hyperlink" Target="https://www.niso.org/awards" TargetMode="External"/><Relationship Id="rId8" Type="http://schemas.openxmlformats.org/officeDocument/2006/relationships/hyperlink" Target="https://lafayette.villa-albertine.org/" TargetMode="External"/><Relationship Id="rId9" Type="http://schemas.openxmlformats.org/officeDocument/2006/relationships/hyperlink" Target="https://cescholar.org/" TargetMode="External"/><Relationship Id="rId10" Type="http://schemas.openxmlformats.org/officeDocument/2006/relationships/hyperlink" Target="https://faa.illinois.edu/research/research-funding-resources/kate-neal-kinley-memorial-fellowship/" TargetMode="External"/><Relationship Id="rId11" Type="http://schemas.openxmlformats.org/officeDocument/2006/relationships/hyperlink" Target="https://www.getty.edu/projects/postdoctoral-fellowship-conservation-science/" TargetMode="External"/><Relationship Id="rId12" Type="http://schemas.openxmlformats.org/officeDocument/2006/relationships/hyperlink" Target="https://www.parkinson.org/advancing-research/for-researchers/fellowships-early-career-awards" TargetMode="External"/><Relationship Id="rId13" Type="http://schemas.openxmlformats.org/officeDocument/2006/relationships/hyperlink" Target="https://nature.berkeley.edu/academics/ciriacy-wantrup" TargetMode="External"/><Relationship Id="rId14" Type="http://schemas.openxmlformats.org/officeDocument/2006/relationships/hyperlink" Target="https://www.linkenergy.org/" TargetMode="External"/><Relationship Id="rId15" Type="http://schemas.openxmlformats.org/officeDocument/2006/relationships/hyperlink" Target="https://www.middlebury.edu/language-schools/funding/fellowships-scholarships/peace" TargetMode="External"/><Relationship Id="rId16" Type="http://schemas.openxmlformats.org/officeDocument/2006/relationships/hyperlink" Target="https://jcblibrary.org/fellowships/opportunities" TargetMode="External"/><Relationship Id="rId17" Type="http://schemas.openxmlformats.org/officeDocument/2006/relationships/hyperlink" Target="https://us-japan.wcfia.harvard.edu/apply-become-postdoctoral-fellow" TargetMode="External"/><Relationship Id="rId18" Type="http://schemas.openxmlformats.org/officeDocument/2006/relationships/hyperlink" Target="https://research.ibm.com/goldstine/" TargetMode="External"/><Relationship Id="rId19" Type="http://schemas.openxmlformats.org/officeDocument/2006/relationships/hyperlink" Target="https://aefpweb.org/funding-opportunities" TargetMode="External"/><Relationship Id="rId20" Type="http://schemas.openxmlformats.org/officeDocument/2006/relationships/hyperlink" Target="https://www.ntu.edu.sg/research/research-careers/presidential-postdoctoral-fellowship-(ppf)" TargetMode="External"/><Relationship Id="rId21" Type="http://schemas.openxmlformats.org/officeDocument/2006/relationships/hyperlink" Target="https://www.georgiahistory.com/learn-and-explore/vincent-j-dooley-distinguished-fellows-program/distinguished-research-fellows/" TargetMode="External"/><Relationship Id="rId22" Type="http://schemas.openxmlformats.org/officeDocument/2006/relationships/hyperlink" Target="https://www.ualberta.ca/en/graduate-studies/awards-and-funding/postdoctoral-fellow-funding/killam.html" TargetMode="External"/><Relationship Id="rId23" Type="http://schemas.openxmlformats.org/officeDocument/2006/relationships/hyperlink" Target="https://www.ualberta.ca/en/graduate-studies/awards-and-funding/postdoctoral-fellow-funding/killam.html" TargetMode="External"/><Relationship Id="rId24" Type="http://schemas.openxmlformats.org/officeDocument/2006/relationships/hyperlink" Target="https://www.wesleyan.edu/humanities/fellowships/mellon.html" TargetMode="External"/><Relationship Id="rId25" Type="http://schemas.openxmlformats.org/officeDocument/2006/relationships/hyperlink" Target="https://www.nyhistory.org/careers/fellowships" TargetMode="External"/><Relationship Id="rId26" Type="http://schemas.openxmlformats.org/officeDocument/2006/relationships/hyperlink" Target="https://www.nyhistory.org/careers/fellowships" TargetMode="External"/><Relationship Id="rId27" Type="http://schemas.openxmlformats.org/officeDocument/2006/relationships/hyperlink" Target="https://fairbank.fas.harvard.edu/affiliation-2/an-wang-postdoctoral-fellows/" TargetMode="External"/><Relationship Id="rId28" Type="http://schemas.openxmlformats.org/officeDocument/2006/relationships/hyperlink" Target="https://www.winterthur.org/fellowships-available/" TargetMode="External"/><Relationship Id="rId29" Type="http://schemas.openxmlformats.org/officeDocument/2006/relationships/hyperlink" Target="https://www.lupus.org/career-development-for-researchers/gina-m-finzi-student-fellowship" TargetMode="External"/><Relationship Id="rId30" Type="http://schemas.openxmlformats.org/officeDocument/2006/relationships/hyperlink" Target="https://ucnature.org/research/student-research-funding/mathias-grant/" TargetMode="External"/><Relationship Id="rId31" Type="http://schemas.openxmlformats.org/officeDocument/2006/relationships/hyperlink" Target="https://uchri.org/grants/medicine-humanities-the-andrew-vincent-white-and-florence-wales-white-graduate-student-scholarship-2026-27" TargetMode="External"/><Relationship Id="rId32" Type="http://schemas.openxmlformats.org/officeDocument/2006/relationships/hyperlink" Target="https://usmex.ucsd.edu/fellows/index.html" TargetMode="External"/><Relationship Id="rId33" Type="http://schemas.openxmlformats.org/officeDocument/2006/relationships/hyperlink" Target="https://chateaubriand-fellowship.org/" TargetMode="External"/><Relationship Id="rId34" Type="http://schemas.openxmlformats.org/officeDocument/2006/relationships/hyperlink" Target="https://chateaubriand-fellowship.org/stem-application/" TargetMode="External"/><Relationship Id="rId35" Type="http://schemas.openxmlformats.org/officeDocument/2006/relationships/hyperlink" Target="https://librarycompany.org/academic-programs/fellowships/" TargetMode="External"/><Relationship Id="rId36" Type="http://schemas.openxmlformats.org/officeDocument/2006/relationships/hyperlink" Target="https://www.asor.org/fellowships/mesopotamian-fellowship/" TargetMode="External"/><Relationship Id="rId37" Type="http://schemas.openxmlformats.org/officeDocument/2006/relationships/hyperlink" Target="https://pasadenacf.org/programs/scholarships/josephine-de-karman-trust-fellowship/" TargetMode="External"/><Relationship Id="rId38" Type="http://schemas.openxmlformats.org/officeDocument/2006/relationships/hyperlink" Target="https://simpler.grants.gov/opportunity/63365b72-6e30-493e-ab12-9e22aff4d17e" TargetMode="External"/><Relationship Id="rId39" Type="http://schemas.openxmlformats.org/officeDocument/2006/relationships/hyperlink" Target="https://www.international.ucla.edu/apc/funding" TargetMode="External"/><Relationship Id="rId40" Type="http://schemas.openxmlformats.org/officeDocument/2006/relationships/hyperlink" Target="https://www.lanl.gov/engage/collaboration/internships/summer-schools/applied-machine-learning-fellowship" TargetMode="External"/><Relationship Id="rId41" Type="http://schemas.openxmlformats.org/officeDocument/2006/relationships/hyperlink" Target="https://www.ans.org/scholarships/" TargetMode="External"/><Relationship Id="rId42" Type="http://schemas.openxmlformats.org/officeDocument/2006/relationships/hyperlink" Target="https://1718.ucla.edu/research/fellowships/" TargetMode="External"/><Relationship Id="rId43" Type="http://schemas.openxmlformats.org/officeDocument/2006/relationships/hyperlink" Target="https://www.1718.ucla.edu/research/clark-dissertation-fellows/" TargetMode="External"/><Relationship Id="rId44" Type="http://schemas.openxmlformats.org/officeDocument/2006/relationships/hyperlink" Target="https://www.1718.ucla.edu/research/fellowships/" TargetMode="External"/><Relationship Id="rId45" Type="http://schemas.openxmlformats.org/officeDocument/2006/relationships/hyperlink" Target="https://1718.ucla.edu/research/fellowships/" TargetMode="External"/><Relationship Id="rId46" Type="http://schemas.openxmlformats.org/officeDocument/2006/relationships/hyperlink" Target="https://www.amsmusicology.org/funding/ams-50/" TargetMode="External"/><Relationship Id="rId47" Type="http://schemas.openxmlformats.org/officeDocument/2006/relationships/hyperlink" Target="https://grad.ucla.edu/funding/financial-aid/funding-for-continuing-students/fellowship-application/" TargetMode="External"/><Relationship Id="rId48" Type="http://schemas.openxmlformats.org/officeDocument/2006/relationships/hyperlink" Target="https://grad.ucla.edu/funding/" TargetMode="External"/><Relationship Id="rId49" Type="http://schemas.openxmlformats.org/officeDocument/2006/relationships/hyperlink" Target="https://grad.ucla.edu/funding/financial-aid/funding-for-continuing-students/fellowship-application/" TargetMode="External"/><Relationship Id="rId50" Type="http://schemas.openxmlformats.org/officeDocument/2006/relationships/hyperlink" Target="https://grad.ucla.edu/funding/financial-aid/funding-for-continuing-students/graduate-research-mentorship-program/" TargetMode="External"/><Relationship Id="rId51" Type="http://schemas.openxmlformats.org/officeDocument/2006/relationships/hyperlink" Target="https://grad.ucla.edu/funding/financial-aid/funding-for-continuing-students/graduate-summer-research-mentorship-program/" TargetMode="External"/><Relationship Id="rId52" Type="http://schemas.openxmlformats.org/officeDocument/2006/relationships/hyperlink" Target="https://grad.ucla.edu/funding/financial-aid/funding-for-continuing-students/fellowship-application/" TargetMode="External"/><Relationship Id="rId53" Type="http://schemas.openxmlformats.org/officeDocument/2006/relationships/hyperlink" Target="https://grad.ucla.edu/funding/financial-aid/funding-for-continuing-students/fellowship-application/" TargetMode="External"/><Relationship Id="rId54" Type="http://schemas.openxmlformats.org/officeDocument/2006/relationships/hyperlink" Target="https://grad.ucla.edu/funding/financial-aid/funding-for-continuing-students/" TargetMode="External"/><Relationship Id="rId55" Type="http://schemas.openxmlformats.org/officeDocument/2006/relationships/hyperlink" Target="https://grad.ucla.edu/funding/financial-aid/funding-for-continuing-students/fellowship-application/" TargetMode="External"/><Relationship Id="rId56" Type="http://schemas.openxmlformats.org/officeDocument/2006/relationships/hyperlink" Target="https://www.spffa.org/" TargetMode="External"/><Relationship Id="rId57" Type="http://schemas.openxmlformats.org/officeDocument/2006/relationships/hyperlink" Target="https://www.hsf.net/scholarship/" TargetMode="External"/><Relationship Id="rId58" Type="http://schemas.openxmlformats.org/officeDocument/2006/relationships/hyperlink" Target="https://serc.si.edu/internships/opportunities" TargetMode="External"/><Relationship Id="rId59" Type="http://schemas.openxmlformats.org/officeDocument/2006/relationships/hyperlink" Target="https://www.csustan.edu/graduate-studies-research/student-opportunities/chancellors-doctoral-incentive-program-cdip" TargetMode="External"/><Relationship Id="rId60" Type="http://schemas.openxmlformats.org/officeDocument/2006/relationships/hyperlink" Target="https://www.geosociety.org/grants-scholarships/graduate-research" TargetMode="External"/><Relationship Id="rId61" Type="http://schemas.openxmlformats.org/officeDocument/2006/relationships/hyperlink" Target="https://csw.ucla.edu/funding/graduate-students/black-feminism-initiative-graduate-fellowships/" TargetMode="External"/><Relationship Id="rId62" Type="http://schemas.openxmlformats.org/officeDocument/2006/relationships/hyperlink" Target="https://csw.ucla.edu/funding/graduate-students/elizabeth-blackwell-award/" TargetMode="External"/><Relationship Id="rId63" Type="http://schemas.openxmlformats.org/officeDocument/2006/relationships/hyperlink" Target="https://csw.ucla.edu/funding/graduate-students/jean-stone-fellowship/" TargetMode="External"/><Relationship Id="rId64" Type="http://schemas.openxmlformats.org/officeDocument/2006/relationships/hyperlink" Target="https://csw.ucla.edu/funding/graduate-students/black-feminism-initiative-graduate-fellowships/" TargetMode="External"/><Relationship Id="rId65" Type="http://schemas.openxmlformats.org/officeDocument/2006/relationships/hyperlink" Target="https://csw.ucla.edu/funding/graduate-students/paula-stone-legal-research-fellowship/" TargetMode="External"/><Relationship Id="rId66" Type="http://schemas.openxmlformats.org/officeDocument/2006/relationships/hyperlink" Target="https://scoville.org/apply/" TargetMode="External"/><Relationship Id="rId67" Type="http://schemas.openxmlformats.org/officeDocument/2006/relationships/hyperlink" Target="https://csw.ucla.edu/funding/graduate-students/constance-coiner-graduate-fellowship/" TargetMode="External"/><Relationship Id="rId68" Type="http://schemas.openxmlformats.org/officeDocument/2006/relationships/hyperlink" Target="https://csw.ucla.edu/funding/graduate-students/penny-kanner-dissertation-research-fellowship/" TargetMode="External"/><Relationship Id="rId69" Type="http://schemas.openxmlformats.org/officeDocument/2006/relationships/hyperlink" Target="https://www.escsi.org/escsi-john-ries-scholarship-application-2025-26/" TargetMode="External"/><Relationship Id="rId70" Type="http://schemas.openxmlformats.org/officeDocument/2006/relationships/hyperlink" Target="https://linksim.org/apply/" TargetMode="External"/><Relationship Id="rId71" Type="http://schemas.openxmlformats.org/officeDocument/2006/relationships/hyperlink" Target="https://www.spffa.org/bourses/" TargetMode="External"/><Relationship Id="rId72" Type="http://schemas.openxmlformats.org/officeDocument/2006/relationships/hyperlink" Target="https://www.international.ucla.edu/japan/internalfunding" TargetMode="External"/><Relationship Id="rId73" Type="http://schemas.openxmlformats.org/officeDocument/2006/relationships/hyperlink" Target="https://www.international.ucla.edu/japan/internalfunding" TargetMode="External"/><Relationship Id="rId74" Type="http://schemas.openxmlformats.org/officeDocument/2006/relationships/hyperlink" Target="https://www.international.ucla.edu/japan/internalfunding" TargetMode="External"/><Relationship Id="rId75" Type="http://schemas.openxmlformats.org/officeDocument/2006/relationships/hyperlink" Target="https://science.nrao.edu/opportunities/student-programs/summerstudents" TargetMode="External"/><Relationship Id="rId76" Type="http://schemas.openxmlformats.org/officeDocument/2006/relationships/hyperlink" Target="https://www.lib.berkeley.edu/visit/bancroft/fellowships-awards" TargetMode="External"/><Relationship Id="rId77" Type="http://schemas.openxmlformats.org/officeDocument/2006/relationships/hyperlink" Target="https://www.mdah.ms.gov/taxonomy/term/150" TargetMode="External"/><Relationship Id="rId78" Type="http://schemas.openxmlformats.org/officeDocument/2006/relationships/hyperlink" Target="https://international.ucla.edu/euro/funding/156750" TargetMode="External"/><Relationship Id="rId79" Type="http://schemas.openxmlformats.org/officeDocument/2006/relationships/hyperlink" Target="https://www.international.ucla.edu/euro/funding/159538" TargetMode="External"/><Relationship Id="rId80" Type="http://schemas.openxmlformats.org/officeDocument/2006/relationships/hyperlink" Target="https://www.fic.nih.gov/Programs/Pages/research-scientists.aspx" TargetMode="External"/><Relationship Id="rId81" Type="http://schemas.openxmlformats.org/officeDocument/2006/relationships/hyperlink" Target="https://ccst.us/ccst-science-fellows-program/" TargetMode="External"/><Relationship Id="rId82" Type="http://schemas.openxmlformats.org/officeDocument/2006/relationships/hyperlink" Target="https://royalsociety.org/grants/newton-international/" TargetMode="External"/><Relationship Id="rId83" Type="http://schemas.openxmlformats.org/officeDocument/2006/relationships/hyperlink" Target="https://ropercenter.cornell.edu/web-du-bois-scholars" TargetMode="External"/><Relationship Id="rId84" Type="http://schemas.openxmlformats.org/officeDocument/2006/relationships/hyperlink" Target="https://www.spffa.org/bourses/" TargetMode="External"/><Relationship Id="rId85" Type="http://schemas.openxmlformats.org/officeDocument/2006/relationships/hyperlink" Target="https://councilforeuropeanstudies.org/grants-awards-fellowships/sae-ces/" TargetMode="External"/><Relationship Id="rId86" Type="http://schemas.openxmlformats.org/officeDocument/2006/relationships/hyperlink" Target="https://www.cement.org/education-research/pca-education-foundation" TargetMode="External"/><Relationship Id="rId87" Type="http://schemas.openxmlformats.org/officeDocument/2006/relationships/hyperlink" Target="https://www.bgu.ac.il/en/u/sde-boker/bidr/centers/bcsc/" TargetMode="External"/><Relationship Id="rId88" Type="http://schemas.openxmlformats.org/officeDocument/2006/relationships/hyperlink" Target="https://fellowship-application.danonenorthamerica.com/" TargetMode="External"/><Relationship Id="rId89" Type="http://schemas.openxmlformats.org/officeDocument/2006/relationships/hyperlink" Target="https://fowler.ucla.edu/opportunities/" TargetMode="External"/><Relationship Id="rId90" Type="http://schemas.openxmlformats.org/officeDocument/2006/relationships/hyperlink" Target="https://fowler.ucla.edu/opportunities/" TargetMode="External"/><Relationship Id="rId91" Type="http://schemas.openxmlformats.org/officeDocument/2006/relationships/hyperlink" Target="https://fowler.ucla.edu/opportunities/" TargetMode="External"/><Relationship Id="rId92" Type="http://schemas.openxmlformats.org/officeDocument/2006/relationships/hyperlink" Target="https://www.agu.org/honors/horton-grant" TargetMode="External"/><Relationship Id="rId93" Type="http://schemas.openxmlformats.org/officeDocument/2006/relationships/hyperlink" Target="https://history.army.mil/html/about/df-geninfo.html" TargetMode="External"/><Relationship Id="rId94" Type="http://schemas.openxmlformats.org/officeDocument/2006/relationships/hyperlink" Target="https://cobellscholar.org/" TargetMode="External"/><Relationship Id="rId95" Type="http://schemas.openxmlformats.org/officeDocument/2006/relationships/hyperlink" Target="https://fellowships.si.edu/opportunity/deep-time-peter-buck-postdoctoral-fellowship-program" TargetMode="External"/><Relationship Id="rId96" Type="http://schemas.openxmlformats.org/officeDocument/2006/relationships/hyperlink" Target="https://islamicscholarshipfund.org/" TargetMode="External"/><Relationship Id="rId97" Type="http://schemas.openxmlformats.org/officeDocument/2006/relationships/hyperlink" Target="https://scholarships.nfb.org/" TargetMode="External"/><Relationship Id="rId98" Type="http://schemas.openxmlformats.org/officeDocument/2006/relationships/hyperlink" Target="https://ifer.org/graduate-fellowships" TargetMode="External"/><Relationship Id="rId99" Type="http://schemas.openxmlformats.org/officeDocument/2006/relationships/hyperlink" Target="https://www2.hao.ucar.edu/about/visitor-program/newkirk-fellowship" TargetMode="External"/><Relationship Id="rId100" Type="http://schemas.openxmlformats.org/officeDocument/2006/relationships/hyperlink" Target="https://www.jsps.go.jp/english/e-fellow/" TargetMode="External"/><Relationship Id="rId101" Type="http://schemas.openxmlformats.org/officeDocument/2006/relationships/hyperlink" Target="https://www.international.ucla.edu/israel/article/236257" TargetMode="External"/><Relationship Id="rId102" Type="http://schemas.openxmlformats.org/officeDocument/2006/relationships/hyperlink" Target="https://invention.si.edu/lemelson-center-fellowship-program" TargetMode="External"/><Relationship Id="rId103" Type="http://schemas.openxmlformats.org/officeDocument/2006/relationships/hyperlink" Target="https://nhsc.hrsa.gov/scholarships/how-to-apply" TargetMode="External"/><Relationship Id="rId104" Type="http://schemas.openxmlformats.org/officeDocument/2006/relationships/hyperlink" Target="https://www.wri.org/update/2026-lee-schipper-memorial-scholarship-now-open-submissions" TargetMode="External"/><Relationship Id="rId105" Type="http://schemas.openxmlformats.org/officeDocument/2006/relationships/hyperlink" Target="http://cmrs.ucla.edu/awards-fellowships/white/" TargetMode="External"/><Relationship Id="rId106" Type="http://schemas.openxmlformats.org/officeDocument/2006/relationships/hyperlink" Target="https://www.neh.gov/grants/research/fellowships" TargetMode="External"/><Relationship Id="rId107" Type="http://schemas.openxmlformats.org/officeDocument/2006/relationships/hyperlink" Target="https://www.ashfoundation.org/apply/new-investigators-research-grant/" TargetMode="External"/><Relationship Id="rId108" Type="http://schemas.openxmlformats.org/officeDocument/2006/relationships/hyperlink" Target="https://whff.org/the-program/" TargetMode="External"/><Relationship Id="rId109" Type="http://schemas.openxmlformats.org/officeDocument/2006/relationships/hyperlink" Target="https://www.international.ucla.edu/apc/article/252107" TargetMode="External"/><Relationship Id="rId110" Type="http://schemas.openxmlformats.org/officeDocument/2006/relationships/hyperlink" Target="https://www.1718.ucla.edu/research/ucla-graduate/graduate-certificate/" TargetMode="External"/><Relationship Id="rId111" Type="http://schemas.openxmlformats.org/officeDocument/2006/relationships/hyperlink" Target="https://www.afar.org/grants/afar-scholarships" TargetMode="External"/><Relationship Id="rId112" Type="http://schemas.openxmlformats.org/officeDocument/2006/relationships/hyperlink" Target="https://greatmindsinstem.org/gmis-scholarship-application/gmis-scholarships/" TargetMode="External"/><Relationship Id="rId113" Type="http://schemas.openxmlformats.org/officeDocument/2006/relationships/hyperlink" Target="https://www.ashfoundation.org/apply/new-century-scholars-doctoral-scholarship/" TargetMode="External"/><Relationship Id="rId114" Type="http://schemas.openxmlformats.org/officeDocument/2006/relationships/hyperlink" Target="https://www.simonsfoundation.org/grant/pivot-fellowship/" TargetMode="External"/><Relationship Id="rId115" Type="http://schemas.openxmlformats.org/officeDocument/2006/relationships/hyperlink" Target="https://www.acrpacademic.org/" TargetMode="External"/><Relationship Id="rId116" Type="http://schemas.openxmlformats.org/officeDocument/2006/relationships/hyperlink" Target="https://www.maldef.org/resources/scholarship-resources/" TargetMode="External"/><Relationship Id="rId117" Type="http://schemas.openxmlformats.org/officeDocument/2006/relationships/hyperlink" Target="https://nationalbarinstitute.org/programs/" TargetMode="External"/><Relationship Id="rId118" Type="http://schemas.openxmlformats.org/officeDocument/2006/relationships/hyperlink" Target="https://www.worldwidestudies.org/en" TargetMode="External"/><Relationship Id="rId119" Type="http://schemas.openxmlformats.org/officeDocument/2006/relationships/hyperlink" Target="https://www.ashfoundation.org/apply/graduate-student-scholarship/" TargetMode="External"/><Relationship Id="rId120" Type="http://schemas.openxmlformats.org/officeDocument/2006/relationships/hyperlink" Target="https://mirzayanfellow.nas.edu/" TargetMode="External"/><Relationship Id="rId121" Type="http://schemas.openxmlformats.org/officeDocument/2006/relationships/hyperlink" Target="https://www.uclahealth.org/cancer/office-cancer-training-education/more-resources" TargetMode="External"/><Relationship Id="rId122" Type="http://schemas.openxmlformats.org/officeDocument/2006/relationships/hyperlink" Target="https://telacu.com/telacu-education-foundation/graduate-school-support/david-c-lizarraga-fellowship/" TargetMode="External"/><Relationship Id="rId123" Type="http://schemas.openxmlformats.org/officeDocument/2006/relationships/hyperlink" Target="https://www.indian-affairs.org/nativescholarship.html" TargetMode="External"/><Relationship Id="rId124" Type="http://schemas.openxmlformats.org/officeDocument/2006/relationships/hyperlink" Target="https://www.planning.org/students/awards/" TargetMode="External"/><Relationship Id="rId125" Type="http://schemas.openxmlformats.org/officeDocument/2006/relationships/hyperlink" Target="https://www.nationalacademies.org/programs/GULF-GULFEO-14-03" TargetMode="External"/><Relationship Id="rId126" Type="http://schemas.openxmlformats.org/officeDocument/2006/relationships/hyperlink" Target="https://www.theopedproject.org/fellowships" TargetMode="External"/><Relationship Id="rId127" Type="http://schemas.openxmlformats.org/officeDocument/2006/relationships/hyperlink" Target="https://seagrant.noaa.gov/communities/students/graduate-fellows/knauss-fellowship-program/prospective/" TargetMode="External"/><Relationship Id="rId128" Type="http://schemas.openxmlformats.org/officeDocument/2006/relationships/hyperlink" Target="https://www.invent.org/collegiate-inventors" TargetMode="External"/><Relationship Id="rId129" Type="http://schemas.openxmlformats.org/officeDocument/2006/relationships/hyperlink" Target="https://cisac.fsi.stanford.edu/cisac-fellowships" TargetMode="External"/><Relationship Id="rId130" Type="http://schemas.openxmlformats.org/officeDocument/2006/relationships/hyperlink" Target="https://www.us.emb-japan.go.jp/itpr_en/mext-scholarship.html" TargetMode="External"/><Relationship Id="rId131" Type="http://schemas.openxmlformats.org/officeDocument/2006/relationships/hyperlink" Target="https://caseagrant.ucsd.edu/funding/2027-california-sea-grant-state-fellowship" TargetMode="External"/><Relationship Id="rId132" Type="http://schemas.openxmlformats.org/officeDocument/2006/relationships/hyperlink" Target="https://www.wcpinst.org/our-work/congressional-fellows/" TargetMode="External"/><Relationship Id="rId133" Type="http://schemas.openxmlformats.org/officeDocument/2006/relationships/hyperlink" Target="https://hhwf.org/research-fellowship/" TargetMode="External"/><Relationship Id="rId134" Type="http://schemas.openxmlformats.org/officeDocument/2006/relationships/hyperlink" Target="https://www.icwa.org/apply/" TargetMode="External"/><Relationship Id="rId135" Type="http://schemas.openxmlformats.org/officeDocument/2006/relationships/hyperlink" Target="https://lgbts.yale.edu/research" TargetMode="External"/><Relationship Id="rId136" Type="http://schemas.openxmlformats.org/officeDocument/2006/relationships/hyperlink" Target="https://www.afar.org/grants/glenn-postdoc" TargetMode="External"/><Relationship Id="rId137" Type="http://schemas.openxmlformats.org/officeDocument/2006/relationships/hyperlink" Target="https://med.stanford.edu/smisprogram.html" TargetMode="External"/><Relationship Id="rId138" Type="http://schemas.openxmlformats.org/officeDocument/2006/relationships/hyperlink" Target="https://cgsnet.org/about/awards/cgs-proquest-distinguished-dissertation" TargetMode="External"/><Relationship Id="rId139" Type="http://schemas.openxmlformats.org/officeDocument/2006/relationships/hyperlink" Target="https://www.mla.org/Resources/Career/MLA-Grants-and-Awards/Edward-Guiliano-Global-Fellowships" TargetMode="External"/><Relationship Id="rId140" Type="http://schemas.openxmlformats.org/officeDocument/2006/relationships/hyperlink" Target="https://www.ahrq.gov/funding/training-grants/grants/active/t32/T32-ucla.html" TargetMode="External"/><Relationship Id="rId141" Type="http://schemas.openxmlformats.org/officeDocument/2006/relationships/hyperlink" Target="https://professional.heart.org/en/research-programs/aha-funding-opportunities/predoctoral-fellowship" TargetMode="External"/><Relationship Id="rId142" Type="http://schemas.openxmlformats.org/officeDocument/2006/relationships/hyperlink" Target="https://grants.nih.gov/grants/guide/pa-files/PA-25-423.html" TargetMode="External"/><Relationship Id="rId143" Type="http://schemas.openxmlformats.org/officeDocument/2006/relationships/hyperlink" Target="https://sf.princeton.edu/application" TargetMode="External"/><Relationship Id="rId144" Type="http://schemas.openxmlformats.org/officeDocument/2006/relationships/hyperlink" Target="https://www.damonrunyon.org/for-scientists/application-guidelines/fellowship" TargetMode="External"/><Relationship Id="rId145" Type="http://schemas.openxmlformats.org/officeDocument/2006/relationships/hyperlink" Target="https://gfd.whoi.edu/gfd-fellowships/" TargetMode="External"/><Relationship Id="rId146" Type="http://schemas.openxmlformats.org/officeDocument/2006/relationships/hyperlink" Target="https://www.asanet.org/academic-professional-resources/asa-grants-and-fellowships/community-action-research-initiative-grants/" TargetMode="External"/><Relationship Id="rId147" Type="http://schemas.openxmlformats.org/officeDocument/2006/relationships/hyperlink" Target="https://research.ibm.com/university/awards/fellowships-faq.html" TargetMode="External"/><Relationship Id="rId148" Type="http://schemas.openxmlformats.org/officeDocument/2006/relationships/hyperlink" Target="https://health.ucdavis.edu/mind-institute/education/postdoc-training/" TargetMode="External"/><Relationship Id="rId149" Type="http://schemas.openxmlformats.org/officeDocument/2006/relationships/hyperlink" Target="https://www.cancerresearch.org/cri-irvington-postdoctoral-fellowship" TargetMode="External"/><Relationship Id="rId150" Type="http://schemas.openxmlformats.org/officeDocument/2006/relationships/hyperlink" Target="https://www.nationalacademies.org/programs/GULF-GULFEO-14-01/application-process" TargetMode="External"/><Relationship Id="rId151" Type="http://schemas.openxmlformats.org/officeDocument/2006/relationships/hyperlink" Target="https://en.kf.or.kr/" TargetMode="External"/><Relationship Id="rId152" Type="http://schemas.openxmlformats.org/officeDocument/2006/relationships/hyperlink" Target="https://societyhumanities.as.cornell.edu/fellowships" TargetMode="External"/><Relationship Id="rId153" Type="http://schemas.openxmlformats.org/officeDocument/2006/relationships/hyperlink" Target="https://careers.state.gov/interns-fellows/student-internship-program/" TargetMode="External"/><Relationship Id="rId154" Type="http://schemas.openxmlformats.org/officeDocument/2006/relationships/hyperlink" Target="https://www.beckman-foundation.org/programs/beckman-postdoctoral-fellows/" TargetMode="External"/><Relationship Id="rId155" Type="http://schemas.openxmlformats.org/officeDocument/2006/relationships/hyperlink" Target="https://www.international.ucla.edu/israel/funding" TargetMode="External"/><Relationship Id="rId156" Type="http://schemas.openxmlformats.org/officeDocument/2006/relationships/hyperlink" Target="https://lucescholars.org/" TargetMode="External"/><Relationship Id="rId157" Type="http://schemas.openxmlformats.org/officeDocument/2006/relationships/hyperlink" Target="https://www.radcliffe.harvard.edu/radcliffe-fellowship/application-information" TargetMode="External"/><Relationship Id="rId158" Type="http://schemas.openxmlformats.org/officeDocument/2006/relationships/hyperlink" Target="https://en.scholion.huji.ac.il/mandel-postdoctoral-fellowship" TargetMode="External"/><Relationship Id="rId159" Type="http://schemas.openxmlformats.org/officeDocument/2006/relationships/hyperlink" Target="https://commonfund.nih.gov/earlyindependence" TargetMode="External"/><Relationship Id="rId160" Type="http://schemas.openxmlformats.org/officeDocument/2006/relationships/hyperlink" Target="https://www.helsinki.fi/en/helsinki-collegium-advanced-studies/apply/apply-hcas-core-fellowship" TargetMode="External"/><Relationship Id="rId161" Type="http://schemas.openxmlformats.org/officeDocument/2006/relationships/hyperlink" Target="https://ucghi.universityofcalifornia.edu/fellowships/glocal-health-fellowship/" TargetMode="External"/><Relationship Id="rId162" Type="http://schemas.openxmlformats.org/officeDocument/2006/relationships/hyperlink" Target="https://www.ioes.ucla.edu/jobs/the-2027-ucla-la-kretz-center-postdoctoral-fellowship-in-california-conservation-science/" TargetMode="External"/><Relationship Id="rId163" Type="http://schemas.openxmlformats.org/officeDocument/2006/relationships/hyperlink" Target="https://academy.wcfia.harvard.edu/programs/academy_scholar" TargetMode="External"/><Relationship Id="rId164" Type="http://schemas.openxmlformats.org/officeDocument/2006/relationships/hyperlink" Target="https://societyoffellows.umich.edu/the-fellowship/application-guidelines/" TargetMode="External"/><Relationship Id="rId165" Type="http://schemas.openxmlformats.org/officeDocument/2006/relationships/hyperlink" Target="https://proposals.nycommunitytrust.org/Rfp/DownloadRfp/?id=102" TargetMode="External"/><Relationship Id="rId166" Type="http://schemas.openxmlformats.org/officeDocument/2006/relationships/hyperlink" Target="https://www.jsps.go.jp/english/e-fellow/e-oubei-s/index.html" TargetMode="External"/><Relationship Id="rId167" Type="http://schemas.openxmlformats.org/officeDocument/2006/relationships/hyperlink" Target="https://www.americanacademy.de/apply/apply-for-a-fellowship/" TargetMode="External"/><Relationship Id="rId168" Type="http://schemas.openxmlformats.org/officeDocument/2006/relationships/hyperlink" Target="https://www.marshallscholarship.org/" TargetMode="External"/><Relationship Id="rId169" Type="http://schemas.openxmlformats.org/officeDocument/2006/relationships/hyperlink" Target="https://americanaustralian.org/scholarships/education-fund/" TargetMode="External"/><Relationship Id="rId170" Type="http://schemas.openxmlformats.org/officeDocument/2006/relationships/hyperlink" Target="https://www.bwfund.org/grants/biomedical-sciences/career-awards-for-medical-scientists/" TargetMode="External"/><Relationship Id="rId171" Type="http://schemas.openxmlformats.org/officeDocument/2006/relationships/hyperlink" Target="https://www.wilsoncenter.org/research-fellowship" TargetMode="External"/><Relationship Id="rId172" Type="http://schemas.openxmlformats.org/officeDocument/2006/relationships/hyperlink" Target="https://www.jfklibrary.org/archives/research-fellowships-grants" TargetMode="External"/><Relationship Id="rId173" Type="http://schemas.openxmlformats.org/officeDocument/2006/relationships/hyperlink" Target="https://www.aauw.org/resources/programs/selected-professions-fellowship-program/" TargetMode="External"/><Relationship Id="rId174" Type="http://schemas.openxmlformats.org/officeDocument/2006/relationships/hyperlink" Target="https://www.surveycto.com/data-collection-research-grant/" TargetMode="External"/><Relationship Id="rId175" Type="http://schemas.openxmlformats.org/officeDocument/2006/relationships/hyperlink" Target="https://www.aip.org/aip/awards/state-department-science-policy-fellowships" TargetMode="External"/><Relationship Id="rId176" Type="http://schemas.openxmlformats.org/officeDocument/2006/relationships/hyperlink" Target="https://www.amphilsoc.org/grants/franklin-research-grants" TargetMode="External"/><Relationship Id="rId177" Type="http://schemas.openxmlformats.org/officeDocument/2006/relationships/hyperlink" Target="https://www.sigmaxi.org/programs/grants-in-aid-of-research" TargetMode="External"/><Relationship Id="rId178" Type="http://schemas.openxmlformats.org/officeDocument/2006/relationships/hyperlink" Target="https://st.llnl.gov/opportunities/postdocs/postdoc-program/lawrence-fellowship" TargetMode="External"/><Relationship Id="rId179" Type="http://schemas.openxmlformats.org/officeDocument/2006/relationships/hyperlink" Target="https://lsrf.org/" TargetMode="External"/><Relationship Id="rId180" Type="http://schemas.openxmlformats.org/officeDocument/2006/relationships/hyperlink" Target="https://rarebookschool.org/sofcb/" TargetMode="External"/><Relationship Id="rId181" Type="http://schemas.openxmlformats.org/officeDocument/2006/relationships/hyperlink" Target="https://www.aacu.org/about/awards/the-k-patricia-cross-future-leaders-award" TargetMode="External"/><Relationship Id="rId182" Type="http://schemas.openxmlformats.org/officeDocument/2006/relationships/hyperlink" Target="https://nationalhumanitiescenter.org/scholarly-programs/" TargetMode="External"/><Relationship Id="rId183" Type="http://schemas.openxmlformats.org/officeDocument/2006/relationships/hyperlink" Target="https://www.srf.org/programs/international-security-foreign-policy/world-politics-statecraft-fellowship/" TargetMode="External"/><Relationship Id="rId184" Type="http://schemas.openxmlformats.org/officeDocument/2006/relationships/hyperlink" Target="https://us.fulbrightonline.org/" TargetMode="External"/><Relationship Id="rId185" Type="http://schemas.openxmlformats.org/officeDocument/2006/relationships/hyperlink" Target="https://naeducation.org/naed-spencer-dissertation-fellowship/" TargetMode="External"/><Relationship Id="rId186" Type="http://schemas.openxmlformats.org/officeDocument/2006/relationships/hyperlink" Target="https://www.spencer.org/grant_types/post-doctoral-fellowship" TargetMode="External"/><Relationship Id="rId187" Type="http://schemas.openxmlformats.org/officeDocument/2006/relationships/hyperlink" Target="https://miller.berkeley.edu/fellowship" TargetMode="External"/><Relationship Id="rId188" Type="http://schemas.openxmlformats.org/officeDocument/2006/relationships/hyperlink" Target="https://www.agc.org/learn/education-and-research-foundation/scholarship-program" TargetMode="External"/><Relationship Id="rId189" Type="http://schemas.openxmlformats.org/officeDocument/2006/relationships/hyperlink" Target="https://www.nativeforward.org/scholarship-category/graduate/" TargetMode="External"/><Relationship Id="rId190" Type="http://schemas.openxmlformats.org/officeDocument/2006/relationships/hyperlink" Target="https://www.nsf.gov/honorary-awards/waterman" TargetMode="External"/><Relationship Id="rId191" Type="http://schemas.openxmlformats.org/officeDocument/2006/relationships/hyperlink" Target="https://ccas.georgetown.edu/resources/opportunities/american-druze-foundation-fellowship/" TargetMode="External"/><Relationship Id="rId192" Type="http://schemas.openxmlformats.org/officeDocument/2006/relationships/hyperlink" Target="https://professional.heart.org/en/research-programs/aha-funding-opportunities/postdoctoral-fellowship" TargetMode="External"/><Relationship Id="rId193" Type="http://schemas.openxmlformats.org/officeDocument/2006/relationships/hyperlink" Target="https://cstefellows.org/" TargetMode="External"/><Relationship Id="rId194" Type="http://schemas.openxmlformats.org/officeDocument/2006/relationships/hyperlink" Target="https://arce.org/fellowships-landing/" TargetMode="External"/><Relationship Id="rId195" Type="http://schemas.openxmlformats.org/officeDocument/2006/relationships/hyperlink" Target="https://www.amstat.org/ASA/Your-Career/ASA-Fellowships-and-Grants.aspx" TargetMode="External"/><Relationship Id="rId196" Type="http://schemas.openxmlformats.org/officeDocument/2006/relationships/hyperlink" Target="https://www.abta.org/basic-research-fellowships/" TargetMode="External"/><Relationship Id="rId197" Type="http://schemas.openxmlformats.org/officeDocument/2006/relationships/hyperlink" Target="https://www.st-annes.ox.ac.uk/wp-content/uploads/2025/01/Biegun-Warburg-JRF-25-27-FPs.pdf" TargetMode="External"/><Relationship Id="rId198" Type="http://schemas.openxmlformats.org/officeDocument/2006/relationships/hyperlink" Target="https://www.medievalacademy.org/page/Baldwin_Fellowship" TargetMode="External"/><Relationship Id="rId199" Type="http://schemas.openxmlformats.org/officeDocument/2006/relationships/hyperlink" Target="https://impactforequity.org/work-with-us/polikoff-gautreaux-fellowship/" TargetMode="External"/><Relationship Id="rId200" Type="http://schemas.openxmlformats.org/officeDocument/2006/relationships/hyperlink" Target="https://theccwh.org/ccwh-awards/catherine-prelinger-award/" TargetMode="External"/><Relationship Id="rId201" Type="http://schemas.openxmlformats.org/officeDocument/2006/relationships/hyperlink" Target="https://graduate.dartmouth.edu/admissions-financial-aid/funding/fellowships/provosts-fellowship-program" TargetMode="External"/><Relationship Id="rId202" Type="http://schemas.openxmlformats.org/officeDocument/2006/relationships/hyperlink" Target="https://www.cbo.gov/about/careers/internships" TargetMode="External"/><Relationship Id="rId203" Type="http://schemas.openxmlformats.org/officeDocument/2006/relationships/hyperlink" Target="https://exchanges.state.gov/us/program/fulbright-us-scholar-program" TargetMode="External"/><Relationship Id="rId204" Type="http://schemas.openxmlformats.org/officeDocument/2006/relationships/hyperlink" Target="https://grad.ucla.edu/funding/financial-aid/funding-for-entering-students/eugene-v-cota-robles-fellowship/" TargetMode="External"/><Relationship Id="rId205" Type="http://schemas.openxmlformats.org/officeDocument/2006/relationships/hyperlink" Target="https://www.laaconline.org/award/dan-bradley-fellowship/" TargetMode="External"/><Relationship Id="rId206" Type="http://schemas.openxmlformats.org/officeDocument/2006/relationships/hyperlink" Target="https://www.gfoa.org/available-scholarships" TargetMode="External"/><Relationship Id="rId207" Type="http://schemas.openxmlformats.org/officeDocument/2006/relationships/hyperlink" Target="https://caseagrant.ucsd.edu/funding/delta-science-fellowship" TargetMode="External"/><Relationship Id="rId208" Type="http://schemas.openxmlformats.org/officeDocument/2006/relationships/hyperlink" Target="https://www.aera.net/Professional-Opportunities-Funding/AERA-Funding-Opportunities/AERA-NSF-Grants-Program/Dissertation-Grants" TargetMode="External"/><Relationship Id="rId209" Type="http://schemas.openxmlformats.org/officeDocument/2006/relationships/hyperlink" Target="https://disi.org/" TargetMode="External"/><Relationship Id="rId210" Type="http://schemas.openxmlformats.org/officeDocument/2006/relationships/hyperlink" Target="https://grad.uci.edu/fellowships/dolores-zohrab-liebmann-fellowship-e/" TargetMode="External"/><Relationship Id="rId211" Type="http://schemas.openxmlformats.org/officeDocument/2006/relationships/hyperlink" Target="https://ccpr.ucla.edu/funding/treiman-research-fellowship/" TargetMode="External"/><Relationship Id="rId212" Type="http://schemas.openxmlformats.org/officeDocument/2006/relationships/hyperlink" Target="https://www.cnsi.ucsb.edu/programs/elings-fellowships" TargetMode="External"/><Relationship Id="rId213" Type="http://schemas.openxmlformats.org/officeDocument/2006/relationships/hyperlink" Target="https://astrobiology.nasa.gov/research/astrobiology-at-nasa/exobiology/" TargetMode="External"/><Relationship Id="rId214" Type="http://schemas.openxmlformats.org/officeDocument/2006/relationships/hyperlink" Target="https://med.emory.edu/research/training/index.html" TargetMode="External"/><Relationship Id="rId215" Type="http://schemas.openxmlformats.org/officeDocument/2006/relationships/hyperlink" Target="https://www.international.ucla.edu/institute/article/8201" TargetMode="External"/><Relationship Id="rId216" Type="http://schemas.openxmlformats.org/officeDocument/2006/relationships/hyperlink" Target="https://leakeyfoundation.org/grant/baldwin/" TargetMode="External"/><Relationship Id="rId217" Type="http://schemas.openxmlformats.org/officeDocument/2006/relationships/hyperlink" Target="https://www.sas.rochester.edu/aas/fellowships/postdoctoral.html" TargetMode="External"/><Relationship Id="rId218" Type="http://schemas.openxmlformats.org/officeDocument/2006/relationships/hyperlink" Target="https://fulbright.wisc.edu/ddra/" TargetMode="External"/><Relationship Id="rId219" Type="http://schemas.openxmlformats.org/officeDocument/2006/relationships/hyperlink" Target="https://orise.orau.gov/doe-fes-postdoc/index.html" TargetMode="External"/><Relationship Id="rId220" Type="http://schemas.openxmlformats.org/officeDocument/2006/relationships/hyperlink" Target="https://nij.ojp.gov/funding/fellowships/graduate-research-fellowship-program" TargetMode="External"/><Relationship Id="rId221" Type="http://schemas.openxmlformats.org/officeDocument/2006/relationships/hyperlink" Target="https://nij.ojp.gov/funding/fellowships/graduate-research-fellowship-program" TargetMode="External"/><Relationship Id="rId222" Type="http://schemas.openxmlformats.org/officeDocument/2006/relationships/hyperlink" Target="https://hellenic.ucla.edu/" TargetMode="External"/><Relationship Id="rId223" Type="http://schemas.openxmlformats.org/officeDocument/2006/relationships/hyperlink" Target="https://www.petersons.com/scholarship/harold-gulliksen-psychometric-research-fellowship-program-111_169832.aspx" TargetMode="External"/><Relationship Id="rId224" Type="http://schemas.openxmlformats.org/officeDocument/2006/relationships/hyperlink" Target="https://ldft.huji.ac.il/" TargetMode="External"/><Relationship Id="rId225" Type="http://schemas.openxmlformats.org/officeDocument/2006/relationships/hyperlink" Target="https://www.crs.org/about/careers/fellowships" TargetMode="External"/><Relationship Id="rId226" Type="http://schemas.openxmlformats.org/officeDocument/2006/relationships/hyperlink" Target="https://www.energy.kyoto-u.ac.jp/en/admission/iesc-doctoral-program/" TargetMode="External"/><Relationship Id="rId227" Type="http://schemas.openxmlformats.org/officeDocument/2006/relationships/hyperlink" Target="https://international.ucla.edu/israel/funding" TargetMode="External"/><Relationship Id="rId228" Type="http://schemas.openxmlformats.org/officeDocument/2006/relationships/hyperlink" Target="https://www.jamesmadison.gov/" TargetMode="External"/><Relationship Id="rId229" Type="http://schemas.openxmlformats.org/officeDocument/2006/relationships/hyperlink" Target="https://www.ssrc.org/programs/japan-society-for-the-promotion-of-science-jsps-fellowship/" TargetMode="External"/><Relationship Id="rId230" Type="http://schemas.openxmlformats.org/officeDocument/2006/relationships/hyperlink" Target="https://www.nationalacademies.org/our-work/jefferson-science-fellowships" TargetMode="External"/><Relationship Id="rId231" Type="http://schemas.openxmlformats.org/officeDocument/2006/relationships/hyperlink" Target="https://www.mfah.org/fellowships/" TargetMode="External"/><Relationship Id="rId232" Type="http://schemas.openxmlformats.org/officeDocument/2006/relationships/hyperlink" Target="https://exeter.edu/about/careers/fellowships/" TargetMode="External"/><Relationship Id="rId233" Type="http://schemas.openxmlformats.org/officeDocument/2006/relationships/hyperlink" Target="https://grad.ucla.edu/funding/financial-aid/funding-for-entering-students/fellowships-grants/" TargetMode="External"/><Relationship Id="rId234" Type="http://schemas.openxmlformats.org/officeDocument/2006/relationships/hyperlink" Target="https://knowlesteachers.org/teaching-fellowship" TargetMode="External"/><Relationship Id="rId235" Type="http://schemas.openxmlformats.org/officeDocument/2006/relationships/hyperlink" Target="https://www.lillyfellows.org/" TargetMode="External"/><Relationship Id="rId236" Type="http://schemas.openxmlformats.org/officeDocument/2006/relationships/hyperlink" Target="https://www.research.uky.edu/lyman-t-johnson-postdoctoral-fellowship" TargetMode="External"/><Relationship Id="rId237" Type="http://schemas.openxmlformats.org/officeDocument/2006/relationships/hyperlink" Target="https://www.mceas.org/fellowships/dissertation-fellowship-program" TargetMode="External"/><Relationship Id="rId238" Type="http://schemas.openxmlformats.org/officeDocument/2006/relationships/hyperlink" Target="https://www.caorc.org/multi-fellowship-guidelines" TargetMode="External"/><Relationship Id="rId239" Type="http://schemas.openxmlformats.org/officeDocument/2006/relationships/hyperlink" Target="https://seagrant.noaa.gov/nmfs-sg-fellowship/" TargetMode="External"/><Relationship Id="rId240" Type="http://schemas.openxmlformats.org/officeDocument/2006/relationships/hyperlink" Target="https://pointfoundation.org/scholarships" TargetMode="External"/><Relationship Id="rId241" Type="http://schemas.openxmlformats.org/officeDocument/2006/relationships/hyperlink" Target="https://www.physiology.org/professional-development/awards/trainees/porter_fellowship" TargetMode="External"/><Relationship Id="rId242" Type="http://schemas.openxmlformats.org/officeDocument/2006/relationships/hyperlink" Target="https://orise.orau.gov/tsl/index.html" TargetMode="External"/><Relationship Id="rId243" Type="http://schemas.openxmlformats.org/officeDocument/2006/relationships/hyperlink" Target="https://www.pmf.gov/" TargetMode="External"/><Relationship Id="rId244" Type="http://schemas.openxmlformats.org/officeDocument/2006/relationships/hyperlink" Target="https://www.jewishstudies.utoronto.ca/about-us/employment-opportunities/postdoctoral-fellow-positions" TargetMode="External"/><Relationship Id="rId245" Type="http://schemas.openxmlformats.org/officeDocument/2006/relationships/hyperlink" Target="https://med.stanford.edu/prevention/education/fellowship.html" TargetMode="External"/><Relationship Id="rId246" Type="http://schemas.openxmlformats.org/officeDocument/2006/relationships/hyperlink" Target="https://grad.ucla.edu/funding/financial-aid/funding-for-entering-students/fellowships-grants/" TargetMode="External"/><Relationship Id="rId247" Type="http://schemas.openxmlformats.org/officeDocument/2006/relationships/hyperlink" Target="https://www.src.org/program/grc/" TargetMode="External"/><Relationship Id="rId248" Type="http://schemas.openxmlformats.org/officeDocument/2006/relationships/hyperlink" Target="https://www.symposium.org/competition" TargetMode="External"/><Relationship Id="rId249" Type="http://schemas.openxmlformats.org/officeDocument/2006/relationships/hyperlink" Target="https://www.krellinst.org/ssgf/" TargetMode="External"/><Relationship Id="rId250" Type="http://schemas.openxmlformats.org/officeDocument/2006/relationships/hyperlink" Target="https://www.dhs.gov/homeland-security-careers/summer-research-team-program" TargetMode="External"/><Relationship Id="rId251" Type="http://schemas.openxmlformats.org/officeDocument/2006/relationships/hyperlink" Target="https://alumni.ucla.edu/scholarships/" TargetMode="External"/><Relationship Id="rId252" Type="http://schemas.openxmlformats.org/officeDocument/2006/relationships/hyperlink" Target="https://iiasa.ac.at/early-career/yssp" TargetMode="External"/><Relationship Id="rId253" Type="http://schemas.openxmlformats.org/officeDocument/2006/relationships/hyperlink" Target="https://cegs.ucla.edu/awards-fellowships/ahmanson/" TargetMode="External"/><Relationship Id="rId254" Type="http://schemas.openxmlformats.org/officeDocument/2006/relationships/hyperlink" Target="https://annasobollevyfoundation.org/how-to-apply/" TargetMode="External"/><Relationship Id="rId255" Type="http://schemas.openxmlformats.org/officeDocument/2006/relationships/hyperlink" Target="https://www.sciencehistory.org/research/fellowships/" TargetMode="External"/><Relationship Id="rId256" Type="http://schemas.openxmlformats.org/officeDocument/2006/relationships/hyperlink" Target="https://native-american.dartmouth.edu/research/charles-eastman-fellowship" TargetMode="External"/><Relationship Id="rId257" Type="http://schemas.openxmlformats.org/officeDocument/2006/relationships/hyperlink" Target="https://www.loc.gov/programs/john-w-kluge-center/chairs-fellowships/fellowships/larson-fellowship-in-health-and-spirituality" TargetMode="External"/><Relationship Id="rId258" Type="http://schemas.openxmlformats.org/officeDocument/2006/relationships/hyperlink" Target="https://highways.dot.gov/careers/dwight-david-eisenhower-transportation-fellowship-program" TargetMode="External"/><Relationship Id="rId259" Type="http://schemas.openxmlformats.org/officeDocument/2006/relationships/hyperlink" Target="https://fellowships.si.edu/opportunity/fellowships-museum-practice-fmp" TargetMode="External"/><Relationship Id="rId260" Type="http://schemas.openxmlformats.org/officeDocument/2006/relationships/hyperlink" Target="https://www.anl.gov/education/graduate-research-aide-appointments" TargetMode="External"/><Relationship Id="rId261" Type="http://schemas.openxmlformats.org/officeDocument/2006/relationships/hyperlink" Target="https://www.lanl.gov/careers/career-options/student-internships/graduate/index.php" TargetMode="External"/><Relationship Id="rId262" Type="http://schemas.openxmlformats.org/officeDocument/2006/relationships/hyperlink" Target="https://www.1718.ucla.edu/research/ucla-graduate/" TargetMode="External"/><Relationship Id="rId263" Type="http://schemas.openxmlformats.org/officeDocument/2006/relationships/hyperlink" Target="https://www.theihs.org/funding-opportunities/humane-studies-fellowship/" TargetMode="External"/><Relationship Id="rId264" Type="http://schemas.openxmlformats.org/officeDocument/2006/relationships/hyperlink" Target="https://www.humboldt-foundation.de/en/apply/sponsorship-programmes/humboldt-research-fellowship" TargetMode="External"/><Relationship Id="rId265" Type="http://schemas.openxmlformats.org/officeDocument/2006/relationships/hyperlink" Target="https://www.aei.org/special-features/jeane-kirkpatrick-fellowship-program/" TargetMode="External"/><Relationship Id="rId266" Type="http://schemas.openxmlformats.org/officeDocument/2006/relationships/hyperlink" Target="https://www.jfklibrary.org/about-us/jobs-internships-volunteers/internship-types" TargetMode="External"/><Relationship Id="rId267" Type="http://schemas.openxmlformats.org/officeDocument/2006/relationships/hyperlink" Target="https://www.kccjee.org/graduate-fellowship-program" TargetMode="External"/><Relationship Id="rId268" Type="http://schemas.openxmlformats.org/officeDocument/2006/relationships/hyperlink" Target="https://cbd.cmu.edu/join-us/lane-fellow.html" TargetMode="External"/><Relationship Id="rId269" Type="http://schemas.openxmlformats.org/officeDocument/2006/relationships/hyperlink" Target="https://www.usgs.gov/centers/mendenhall-research-fellowship-program" TargetMode="External"/><Relationship Id="rId270" Type="http://schemas.openxmlformats.org/officeDocument/2006/relationships/hyperlink" Target="https://www.michelsonprizeandgrants.org/" TargetMode="External"/><Relationship Id="rId271" Type="http://schemas.openxmlformats.org/officeDocument/2006/relationships/hyperlink" Target="https://lanl.jobs/students" TargetMode="External"/><Relationship Id="rId272" Type="http://schemas.openxmlformats.org/officeDocument/2006/relationships/hyperlink" Target="https://arg.org/training/postdoctoral-fellowship/" TargetMode="External"/><Relationship Id="rId273" Type="http://schemas.openxmlformats.org/officeDocument/2006/relationships/hyperlink" Target="https://jila.colorado.edu/workcollaborate/postdoctoral" TargetMode="External"/><Relationship Id="rId274" Type="http://schemas.openxmlformats.org/officeDocument/2006/relationships/hyperlink" Target="https://orise.orau.gov/cdc/index.html" TargetMode="External"/><Relationship Id="rId275" Type="http://schemas.openxmlformats.org/officeDocument/2006/relationships/hyperlink" Target="https://aaas.dartmouth.edu/research/thurgood-marshall-dissertation-and-postdoctoral-fellowship" TargetMode="External"/><Relationship Id="rId276" Type="http://schemas.openxmlformats.org/officeDocument/2006/relationships/hyperlink" Target="https://www.1718.ucla.edu/research/ucla-graduate/" TargetMode="External"/><Relationship Id="rId277" Type="http://schemas.openxmlformats.org/officeDocument/2006/relationships/hyperlink" Target="https://grad.ucla.edu/funding/financial-aid/funding-for-continuing-students/doctoral-student-travel-grants/" TargetMode="External"/><Relationship Id="rId278" Type="http://schemas.openxmlformats.org/officeDocument/2006/relationships/hyperlink" Target="https://ors.od.nih.gov/pes/dis/VisitingScientists/Pages/AboutNIHVisitingProgram.aspx" TargetMode="External"/><Relationship Id="rId279" Type="http://schemas.openxmlformats.org/officeDocument/2006/relationships/hyperlink" Target="https://www.genome.gov/careers-training/NHGRI-Funding-Opportunities-Training-Career-Development" TargetMode="External"/><Relationship Id="rId280" Type="http://schemas.openxmlformats.org/officeDocument/2006/relationships/hyperlink" Target="https://shc.stanford.edu/stanford-humanities-center/fellowships/mellon-fellowship-scholars-humanities" TargetMode="External"/><Relationship Id="rId281" Type="http://schemas.openxmlformats.org/officeDocument/2006/relationships/hyperlink" Target="https://www.cfa.harvard.edu/opportunities/fellowships-visiting-scientist-positions/cfa-fellowship" TargetMode="External"/><Relationship Id="rId282" Type="http://schemas.openxmlformats.org/officeDocument/2006/relationships/hyperlink" Target="https://www.cfa.harvard.edu/opportunities/fellowships-visiting-scientist-positions/clay-fellowship" TargetMode="External"/><Relationship Id="rId283" Type="http://schemas.openxmlformats.org/officeDocument/2006/relationships/hyperlink" Target="http://www.cckf.org/en/programs/american/MDF" TargetMode="External"/><Relationship Id="rId284" Type="http://schemas.openxmlformats.org/officeDocument/2006/relationships/hyperlink" Target="https://americanart.si.edu/research/fellowships/apply" TargetMode="External"/><Relationship Id="rId285" Type="http://schemas.openxmlformats.org/officeDocument/2006/relationships/hyperlink" Target="https://www.americanantiquarian.org/12-month-residential/hench-post-dissertation-fellowship" TargetMode="External"/><Relationship Id="rId286" Type="http://schemas.openxmlformats.org/officeDocument/2006/relationships/hyperlink" Target="https://societyhumanities.as.cornell.edu/mellon-postdoctoral-fellowships" TargetMode="External"/><Relationship Id="rId287" Type="http://schemas.openxmlformats.org/officeDocument/2006/relationships/hyperlink" Target="https://www.ias.edu/sss/sss-fellowships" TargetMode="External"/><Relationship Id="rId288" Type="http://schemas.openxmlformats.org/officeDocument/2006/relationships/hyperlink" Target="https://www.whoi.edu/what-we-do/educate/postdoctoral/postdocs-scholar-fellowship-appointments/apo-postdoctoral-scholar/" TargetMode="External"/><Relationship Id="rId289" Type="http://schemas.openxmlformats.org/officeDocument/2006/relationships/hyperlink" Target="https://fellowships.si.edu/fellowship-programs" TargetMode="External"/><Relationship Id="rId290" Type="http://schemas.openxmlformats.org/officeDocument/2006/relationships/hyperlink" Target="https://fellowships.si.edu/opportunity/smithsonian-institution-fellowship-program-sifp" TargetMode="External"/><Relationship Id="rId291" Type="http://schemas.openxmlformats.org/officeDocument/2006/relationships/hyperlink" Target="https://www.nsf.gov/funding/opportunities/grfp-nsf-graduate-research-fellowship-program" TargetMode="External"/><Relationship Id="rId292" Type="http://schemas.openxmlformats.org/officeDocument/2006/relationships/hyperlink" Target="https://atkinson.cornell.edu/grants/postdocs/postdoctoral-fellowships/" TargetMode="External"/><Relationship Id="rId293" Type="http://schemas.openxmlformats.org/officeDocument/2006/relationships/hyperlink" Target="https://www.nsf.gov/funding/opportunities/msprf-mathematical-sciences-postdoctoral-research-fellowships" TargetMode="External"/><Relationship Id="rId294" Type="http://schemas.openxmlformats.org/officeDocument/2006/relationships/hyperlink" Target="https://orise.orau.gov/internships-fellowships/graduates.html" TargetMode="External"/><Relationship Id="rId295" Type="http://schemas.openxmlformats.org/officeDocument/2006/relationships/hyperlink" Target="https://asp.ucar.edu/postdocs/postdoctoral-fellowships" TargetMode="External"/><Relationship Id="rId296" Type="http://schemas.openxmlformats.org/officeDocument/2006/relationships/hyperlink" Target="https://apsanet.org/diversity/diversity-fellowship-program/" TargetMode="External"/><Relationship Id="rId297" Type="http://schemas.openxmlformats.org/officeDocument/2006/relationships/hyperlink" Target="https://www.hhmi.org/programs/gilliam-fellows" TargetMode="External"/><Relationship Id="rId298" Type="http://schemas.openxmlformats.org/officeDocument/2006/relationships/hyperlink" Target="https://www.nsf.gov/funding/opportunities/ear-pf-earth-sciences-postdoctoral-fellowships" TargetMode="External"/><Relationship Id="rId299" Type="http://schemas.openxmlformats.org/officeDocument/2006/relationships/hyperlink" Target="https://www.acls.org/competitions/luce-acls-dissertation-fellowships-in-american-art/" TargetMode="External"/><Relationship Id="rId300" Type="http://schemas.openxmlformats.org/officeDocument/2006/relationships/hyperlink" Target="https://www.acls.org/competitions/the-robert-h-n-ho-family-foundation-dissertation-fellowships-in-buddhist-studies/" TargetMode="External"/><Relationship Id="rId301" Type="http://schemas.openxmlformats.org/officeDocument/2006/relationships/hyperlink" Target="https://pdsoros.org/" TargetMode="External"/><Relationship Id="rId302" Type="http://schemas.openxmlformats.org/officeDocument/2006/relationships/hyperlink" Target="https://www.hertzfoundation.org/hertz-fellowship/" TargetMode="External"/><Relationship Id="rId303" Type="http://schemas.openxmlformats.org/officeDocument/2006/relationships/hyperlink" Target="https://www2.daad.de/deutschland/stipendium/datenbank/en/21148-scholarship-database/?detail=50026200" TargetMode="External"/><Relationship Id="rId304" Type="http://schemas.openxmlformats.org/officeDocument/2006/relationships/hyperlink" Target="https://ndseg.org/" TargetMode="External"/><Relationship Id="rId305" Type="http://schemas.openxmlformats.org/officeDocument/2006/relationships/hyperlink" Target="https://www.phrmafoundation.org/grants-fellowships/postdoctoral-fellowships/" TargetMode="External"/><Relationship Id="rId306" Type="http://schemas.openxmlformats.org/officeDocument/2006/relationships/hyperlink" Target="https://www.climate.columbia.edu/postdoctoral-research-program" TargetMode="External"/><Relationship Id="rId307" Type="http://schemas.openxmlformats.org/officeDocument/2006/relationships/hyperlink" Target="https://www.daad.org/en/find-funding/scholarship-database/" TargetMode="External"/><Relationship Id="rId308" Type="http://schemas.openxmlformats.org/officeDocument/2006/relationships/hyperlink" Target="https://www.acifoundation.org/scholarships.aspx" TargetMode="External"/><Relationship Id="rId309" Type="http://schemas.openxmlformats.org/officeDocument/2006/relationships/hyperlink" Target="https://diversity.berkeley.edu/programs-services/postdoctoral-diversity" TargetMode="External"/><Relationship Id="rId310" Type="http://schemas.openxmlformats.org/officeDocument/2006/relationships/hyperlink" Target="https://newcombefoundation.org/fellowships/" TargetMode="External"/><Relationship Id="rId311" Type="http://schemas.openxmlformats.org/officeDocument/2006/relationships/hyperlink" Target="https://lsa.umich.edu/daas/graduates/fellowship-and-grant-funding/du-bois-mandela-rodney-post-doctoral-fellowship.html" TargetMode="External"/><Relationship Id="rId312" Type="http://schemas.openxmlformats.org/officeDocument/2006/relationships/hyperlink" Target="https://www.doaks.org/research/fellowships-and-awards/research-fellowships" TargetMode="External"/><Relationship Id="rId313" Type="http://schemas.openxmlformats.org/officeDocument/2006/relationships/hyperlink" Target="https://www.amscan.org/fellowships-and-grants/" TargetMode="External"/><Relationship Id="rId314" Type="http://schemas.openxmlformats.org/officeDocument/2006/relationships/hyperlink" Target="https://www.lbi.org/about/fellowships/lbi-daad-fellowships/" TargetMode="External"/><Relationship Id="rId315" Type="http://schemas.openxmlformats.org/officeDocument/2006/relationships/hyperlink" Target="https://www.nationalacademies.org/programs/PGA-FP-18-P-23" TargetMode="External"/><Relationship Id="rId316" Type="http://schemas.openxmlformats.org/officeDocument/2006/relationships/hyperlink" Target="https://npp.orau.org/" TargetMode="External"/><Relationship Id="rId317" Type="http://schemas.openxmlformats.org/officeDocument/2006/relationships/hyperlink" Target="https://ppfp.ucop.edu/info/" TargetMode="External"/><Relationship Id="rId318" Type="http://schemas.openxmlformats.org/officeDocument/2006/relationships/hyperlink" Target="https://www.daad.org/en/find-funding/graduate-opportunities/research-grants/german-studies-research-grants/" TargetMode="External"/><Relationship Id="rId319" Type="http://schemas.openxmlformats.org/officeDocument/2006/relationships/hyperlink" Target="https://www.aarome.org/apply/rome-prize" TargetMode="External"/><Relationship Id="rId320" Type="http://schemas.openxmlformats.org/officeDocument/2006/relationships/hyperlink" Target="https://www.aaas.org/programs/science-technology-policy-fellowships" TargetMode="External"/><Relationship Id="rId321" Type="http://schemas.openxmlformats.org/officeDocument/2006/relationships/hyperlink" Target="https://citizensandscholars.org/dissertation-fellowship-in-womens-studies/" TargetMode="External"/><Relationship Id="rId322" Type="http://schemas.openxmlformats.org/officeDocument/2006/relationships/hyperlink" Target="https://sarweb.org/scholars/resident/" TargetMode="External"/><Relationship Id="rId323" Type="http://schemas.openxmlformats.org/officeDocument/2006/relationships/hyperlink" Target="https://www.getty.edu/projects/graduate-internships/" TargetMode="External"/><Relationship Id="rId324" Type="http://schemas.openxmlformats.org/officeDocument/2006/relationships/hyperlink" Target="https://science.osti.gov/wdts/scgsr" TargetMode="External"/><Relationship Id="rId325" Type="http://schemas.openxmlformats.org/officeDocument/2006/relationships/hyperlink" Target="https://www.acls.org/competitions/luce-acls-early-career-fellowships-in-china-studies-flexible/" TargetMode="External"/><Relationship Id="rId326" Type="http://schemas.openxmlformats.org/officeDocument/2006/relationships/hyperlink" Target="https://apgianninifoundation.org/" TargetMode="External"/><Relationship Id="rId327" Type="http://schemas.openxmlformats.org/officeDocument/2006/relationships/hyperlink" Target="https://csw.ucla.edu/funding/travel-grants/" TargetMode="External"/><Relationship Id="rId328" Type="http://schemas.openxmlformats.org/officeDocument/2006/relationships/hyperlink" Target="https://www.postdocs.ubc.ca/award/killam-postdoctoral-research-fellowship" TargetMode="External"/><Relationship Id="rId329" Type="http://schemas.openxmlformats.org/officeDocument/2006/relationships/hyperlink" Target="https://www.csus.edu/center/center-california-studies/capital-fellows/" TargetMode="External"/><Relationship Id="rId330" Type="http://schemas.openxmlformats.org/officeDocument/2006/relationships/hyperlink" Target="https://www.asianculturalcouncil.org/grant-opportunities" TargetMode="External"/><Relationship Id="rId331" Type="http://schemas.openxmlformats.org/officeDocument/2006/relationships/hyperlink" Target="https://www.assembly.ca.gov/california-state-assembly-fellowship-program" TargetMode="External"/><Relationship Id="rId332" Type="http://schemas.openxmlformats.org/officeDocument/2006/relationships/hyperlink" Target="https://www.csus.edu/center/center-california-studies/capital-fellows/" TargetMode="External"/><Relationship Id="rId333" Type="http://schemas.openxmlformats.org/officeDocument/2006/relationships/hyperlink" Target="https://dowjonesnewsfund.org/djnfinternships/" TargetMode="External"/><Relationship Id="rId334" Type="http://schemas.openxmlformats.org/officeDocument/2006/relationships/hyperlink" Target="https://jetprogramme.org/" TargetMode="External"/><Relationship Id="rId335" Type="http://schemas.openxmlformats.org/officeDocument/2006/relationships/hyperlink" Target="https://www.zonta.org/Web/Web/Programs/Education/Amelia_Earhart_Fellowship.aspx" TargetMode="External"/><Relationship Id="rId336" Type="http://schemas.openxmlformats.org/officeDocument/2006/relationships/hyperlink" Target="http://www.grahamfoundation.org/grant_programs/?mode=award" TargetMode="External"/><Relationship Id="rId337" Type="http://schemas.openxmlformats.org/officeDocument/2006/relationships/hyperlink" Target="https://employment.williams.edu/faculty-positions/" TargetMode="External"/><Relationship Id="rId338" Type="http://schemas.openxmlformats.org/officeDocument/2006/relationships/hyperlink" Target="https://internships.si.edu/opportunity/internships-national-museum-american-indian" TargetMode="External"/><Relationship Id="rId339" Type="http://schemas.openxmlformats.org/officeDocument/2006/relationships/hyperlink" Target="https://afsp.org/research-grant-information/" TargetMode="External"/><Relationship Id="rId340" Type="http://schemas.openxmlformats.org/officeDocument/2006/relationships/hyperlink" Target="https://www.supremecourt.gov/fellows/" TargetMode="External"/><Relationship Id="rId341" Type="http://schemas.openxmlformats.org/officeDocument/2006/relationships/hyperlink" Target="https://www.amnh.org/research/richard-gilder-graduate-school/fellowships" TargetMode="External"/><Relationship Id="rId342" Type="http://schemas.openxmlformats.org/officeDocument/2006/relationships/hyperlink" Target="https://grants.nih.gov/grants/guide/pa-files/PAR-24-052.html" TargetMode="External"/><Relationship Id="rId343" Type="http://schemas.openxmlformats.org/officeDocument/2006/relationships/hyperlink" Target="https://clscholarship.org/apply" TargetMode="External"/><Relationship Id="rId344" Type="http://schemas.openxmlformats.org/officeDocument/2006/relationships/hyperlink" Target="https://www.indiastudies.org/research-fellowship-programs/" TargetMode="External"/><Relationship Id="rId345" Type="http://schemas.openxmlformats.org/officeDocument/2006/relationships/hyperlink" Target="https://www.leifureirikssonfoundation.org/" TargetMode="External"/><Relationship Id="rId346" Type="http://schemas.openxmlformats.org/officeDocument/2006/relationships/hyperlink" Target="https://mahindrahumanities.harvard.edu/postdoctoral-fellowships" TargetMode="External"/><Relationship Id="rId347" Type="http://schemas.openxmlformats.org/officeDocument/2006/relationships/hyperlink" Target="https://www.newberry.org/research/fellowships/long-term-fellowships" TargetMode="External"/><Relationship Id="rId348" Type="http://schemas.openxmlformats.org/officeDocument/2006/relationships/hyperlink" Target="https://www.kressfoundation.org/Programs/Fellowships/History-of-Art-Institutional-Fellowships" TargetMode="External"/><Relationship Id="rId349" Type="http://schemas.openxmlformats.org/officeDocument/2006/relationships/hyperlink" Target="https://www.onr.navy.mil/education-outreach/undergraduate-graduate/nreip-naval-internship" TargetMode="External"/><Relationship Id="rId350" Type="http://schemas.openxmlformats.org/officeDocument/2006/relationships/hyperlink" Target="https://khmerstudies.org/programs/us-scholar-research-fellowships/" TargetMode="External"/><Relationship Id="rId351" Type="http://schemas.openxmlformats.org/officeDocument/2006/relationships/hyperlink" Target="https://www.cancer.org/research/we-fund-cancer-research/apply-research-grant/grant-types/postdoctoral-fellowships.html" TargetMode="External"/><Relationship Id="rId352" Type="http://schemas.openxmlformats.org/officeDocument/2006/relationships/hyperlink" Target="https://www.lung.org/research/awards-and-grants-opportunities" TargetMode="External"/><Relationship Id="rId353" Type="http://schemas.openxmlformats.org/officeDocument/2006/relationships/hyperlink" Target="https://www.fu-berlin.de/en/sites/bprogram/index.html" TargetMode="External"/><Relationship Id="rId354" Type="http://schemas.openxmlformats.org/officeDocument/2006/relationships/hyperlink" Target="https://eit.org/education-and-scholarships/graduate/" TargetMode="External"/><Relationship Id="rId355" Type="http://schemas.openxmlformats.org/officeDocument/2006/relationships/hyperlink" Target="https://grassfoundation.org/apply-for-the-2027-grass-fellowship/" TargetMode="External"/><Relationship Id="rId356" Type="http://schemas.openxmlformats.org/officeDocument/2006/relationships/hyperlink" Target="https://www.library.ucla.edu/about/programs/library-special-collections-lsc-research-fellowships/" TargetMode="External"/><Relationship Id="rId357" Type="http://schemas.openxmlformats.org/officeDocument/2006/relationships/hyperlink" Target="https://ny.jpf.go.jp/grants/grants-for-japanese-studies/fellowship-program/" TargetMode="External"/><Relationship Id="rId358" Type="http://schemas.openxmlformats.org/officeDocument/2006/relationships/hyperlink" Target="https://www.nypl.org/about/fellowships-institutes/schomburg-center-scholars-in-residency" TargetMode="External"/><Relationship Id="rId359" Type="http://schemas.openxmlformats.org/officeDocument/2006/relationships/hyperlink" Target="https://www.newberry.org/research/fellowships/short-term-fellowships" TargetMode="External"/><Relationship Id="rId360" Type="http://schemas.openxmlformats.org/officeDocument/2006/relationships/hyperlink" Target="https://www.smartscholarship.org/smart/en" TargetMode="External"/><Relationship Id="rId361" Type="http://schemas.openxmlformats.org/officeDocument/2006/relationships/hyperlink" Target="https://aiar.org/fellowships" TargetMode="External"/><Relationship Id="rId362" Type="http://schemas.openxmlformats.org/officeDocument/2006/relationships/hyperlink" Target="https://iac.ucla.edu/funding/graduate" TargetMode="External"/><Relationship Id="rId363" Type="http://schemas.openxmlformats.org/officeDocument/2006/relationships/hyperlink" Target="https://grants.nih.gov/funding/activity-codes/F31" TargetMode="External"/><Relationship Id="rId364" Type="http://schemas.openxmlformats.org/officeDocument/2006/relationships/hyperlink" Target="https://grants.nih.gov/grants/guide/pa-files/PA-25-422.html" TargetMode="External"/><Relationship Id="rId365" Type="http://schemas.openxmlformats.org/officeDocument/2006/relationships/hyperlink" Target="https://www.switzernetwork.org/fellowship/become-fellow" TargetMode="External"/><Relationship Id="rId366" Type="http://schemas.openxmlformats.org/officeDocument/2006/relationships/hyperlink" Target="https://www.ets.org/toefl/grants/doctoral-research-grant-language-assessment.html" TargetMode="External"/><Relationship Id="rId367" Type="http://schemas.openxmlformats.org/officeDocument/2006/relationships/hyperlink" Target="https://www.apaics.org/congressional-fellowship" TargetMode="External"/><Relationship Id="rId368" Type="http://schemas.openxmlformats.org/officeDocument/2006/relationships/hyperlink" Target="https://airandspace.si.edu/get-involved/fellowships/guggenheim" TargetMode="External"/><Relationship Id="rId369" Type="http://schemas.openxmlformats.org/officeDocument/2006/relationships/hyperlink" Target="https://rijs.fas.harvard.edu/postdoctoral/rijs" TargetMode="External"/><Relationship Id="rId370" Type="http://schemas.openxmlformats.org/officeDocument/2006/relationships/hyperlink" Target="https://business.edf.org/climate-corps/fellows/us/" TargetMode="External"/><Relationship Id="rId371" Type="http://schemas.openxmlformats.org/officeDocument/2006/relationships/hyperlink" Target="https://www.blakemorefoundation.org/blakemorefreeman" TargetMode="External"/><Relationship Id="rId372" Type="http://schemas.openxmlformats.org/officeDocument/2006/relationships/hyperlink" Target="https://www.mountvernon.org/library/fellowships/fellows-program" TargetMode="External"/><Relationship Id="rId373" Type="http://schemas.openxmlformats.org/officeDocument/2006/relationships/hyperlink" Target="https://cushwa.nd.edu/grant-opportunities/research-travel-grants/" TargetMode="External"/><Relationship Id="rId374" Type="http://schemas.openxmlformats.org/officeDocument/2006/relationships/hyperlink" Target="https://www.cc.nih.gov/bioethics/education" TargetMode="External"/><Relationship Id="rId375" Type="http://schemas.openxmlformats.org/officeDocument/2006/relationships/hyperlink" Target="https://www.aaas.org/programs/mass-media-fellowship" TargetMode="External"/><Relationship Id="rId376" Type="http://schemas.openxmlformats.org/officeDocument/2006/relationships/hyperlink" Target="https://www.ncaa.org/sports/2013/11/21/walter-byers-graduate-scholarship.aspx" TargetMode="External"/><Relationship Id="rId377" Type="http://schemas.openxmlformats.org/officeDocument/2006/relationships/hyperlink" Target="https://www.krellinst.org/csgf/" TargetMode="External"/><Relationship Id="rId378" Type="http://schemas.openxmlformats.org/officeDocument/2006/relationships/hyperlink" Target="https://leakeyfoundation.org/grant/research/" TargetMode="External"/><Relationship Id="rId379" Type="http://schemas.openxmlformats.org/officeDocument/2006/relationships/hyperlink" Target="https://www.americanantiquarian.org/short-term-fellowships" TargetMode="External"/><Relationship Id="rId380" Type="http://schemas.openxmlformats.org/officeDocument/2006/relationships/hyperlink" Target="https://librarycompany.org/academic-programs/fellowships-2-2/short-term/" TargetMode="External"/><Relationship Id="rId381" Type="http://schemas.openxmlformats.org/officeDocument/2006/relationships/hyperlink" Target="https://www.borenawards.org/" TargetMode="External"/><Relationship Id="rId382" Type="http://schemas.openxmlformats.org/officeDocument/2006/relationships/hyperlink" Target="https://stemfellowships.org/" TargetMode="External"/><Relationship Id="rId383" Type="http://schemas.openxmlformats.org/officeDocument/2006/relationships/hyperlink" Target="https://www.pbk.org/awards/sibley-fellowship" TargetMode="External"/><Relationship Id="rId384" Type="http://schemas.openxmlformats.org/officeDocument/2006/relationships/hyperlink" Target="https://www.udall.gov/OurPrograms/Internship/ImportantDates.aspx" TargetMode="External"/><Relationship Id="rId385" Type="http://schemas.openxmlformats.org/officeDocument/2006/relationships/hyperlink" Target="https://www.pbk.org/awards/jensen" TargetMode="External"/><Relationship Id="rId386" Type="http://schemas.openxmlformats.org/officeDocument/2006/relationships/hyperlink" Target="https://nwtrustee.com/alfred-g-and-elma-m-milotte-scholarship/" TargetMode="External"/><Relationship Id="rId387" Type="http://schemas.openxmlformats.org/officeDocument/2006/relationships/hyperlink" Target="https://www.1718.ucla.edu/research/fellowships/" TargetMode="External"/><Relationship Id="rId388" Type="http://schemas.openxmlformats.org/officeDocument/2006/relationships/hyperlink" Target="https://www.fraxa.org/fragile-x-research/grant-application/" TargetMode="External"/><Relationship Id="rId389" Type="http://schemas.openxmlformats.org/officeDocument/2006/relationships/hyperlink" Target="https://www.hfg.org/programs/" TargetMode="External"/><Relationship Id="rId390" Type="http://schemas.openxmlformats.org/officeDocument/2006/relationships/hyperlink" Target="https://www.jccfund.org/" TargetMode="External"/><Relationship Id="rId391" Type="http://schemas.openxmlformats.org/officeDocument/2006/relationships/hyperlink" Target="https://www.1718.ucla.edu/research/kanner/" TargetMode="External"/><Relationship Id="rId392" Type="http://schemas.openxmlformats.org/officeDocument/2006/relationships/hyperlink" Target="https://www.asianstudies.org/grants-awards/council-grants/northeast-asia-council-korean-studies-grants/" TargetMode="External"/><Relationship Id="rId393" Type="http://schemas.openxmlformats.org/officeDocument/2006/relationships/hyperlink" Target="https://www.jeffersonscholars.org/fellowships/national" TargetMode="External"/><Relationship Id="rId394" Type="http://schemas.openxmlformats.org/officeDocument/2006/relationships/hyperlink" Target="https://cleancompetition.org/programs/fellowship-program/" TargetMode="External"/><Relationship Id="rId395" Type="http://schemas.openxmlformats.org/officeDocument/2006/relationships/hyperlink" Target="https://iac.ucla.edu/funding/grants" TargetMode="External"/><Relationship Id="rId396" Type="http://schemas.openxmlformats.org/officeDocument/2006/relationships/hyperlink" Target="https://www.1718.ucla.edu/research/wilde-holland-fellowship/" TargetMode="External"/><Relationship Id="rId397" Type="http://schemas.openxmlformats.org/officeDocument/2006/relationships/hyperlink" Target="https://www.mbari.org/about/careers/internships/" TargetMode="External"/><Relationship Id="rId398" Type="http://schemas.openxmlformats.org/officeDocument/2006/relationships/hyperlink" Target="https://acorjordan.org/caorc-fellowships/" TargetMode="External"/><Relationship Id="rId399" Type="http://schemas.openxmlformats.org/officeDocument/2006/relationships/hyperlink" Target="https://www.ashrae.org/communities/student-zone/scholarships-and-grants/graduate-student-grant-in-aid-award-program" TargetMode="External"/><Relationship Id="rId400" Type="http://schemas.openxmlformats.org/officeDocument/2006/relationships/hyperlink" Target="https://hooverpresidentialfoundation.org/research-travel-grant/" TargetMode="External"/><Relationship Id="rId401" Type="http://schemas.openxmlformats.org/officeDocument/2006/relationships/hyperlink" Target="https://www.amphilsoc.org/grants/fellowships" TargetMode="External"/><Relationship Id="rId402" Type="http://schemas.openxmlformats.org/officeDocument/2006/relationships/hyperlink" Target="https://www.amphilsoc.org/grants/phillips-fund-native-american-research" TargetMode="External"/><Relationship Id="rId403" Type="http://schemas.openxmlformats.org/officeDocument/2006/relationships/hyperlink" Target="https://www.doaks.org/research/fellowships-and-awards/bliss-symposium-awards" TargetMode="External"/><Relationship Id="rId404" Type="http://schemas.openxmlformats.org/officeDocument/2006/relationships/hyperlink" Target="https://capitolhistory.org/engage/capitol-fellowship/" TargetMode="External"/><Relationship Id="rId405" Type="http://schemas.openxmlformats.org/officeDocument/2006/relationships/hyperlink" Target="https://wennergren.org/program/post-phd-research-grant/" TargetMode="External"/><Relationship Id="rId406" Type="http://schemas.openxmlformats.org/officeDocument/2006/relationships/hyperlink" Target="https://www2.whoi.edu/site/nosams/opportunities/graduate-student-internship-program/" TargetMode="External"/><Relationship Id="rId407" Type="http://schemas.openxmlformats.org/officeDocument/2006/relationships/hyperlink" Target="https://acsus.org/acsus-enders-graduate-fellowship" TargetMode="External"/><Relationship Id="rId40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  <c r="B30" s="4" t="s">
        <v>25</v>
      </c>
      <c r="C30" s="4" t="s">
        <v>26</v>
      </c>
      <c r="D30" s="4" t="s">
        <v>27</v>
      </c>
      <c r="E30" s="4" t="s">
        <v>28</v>
      </c>
      <c r="F30" s="4" t="s">
        <v>29</v>
      </c>
      <c r="G30" s="4" t="s">
        <v>30</v>
      </c>
    </row>
    <row r="31" customFormat="false" ht="15" hidden="false" customHeight="false" outlineLevel="0" collapsed="false">
      <c r="A31" s="5" t="n">
        <v>46327</v>
      </c>
      <c r="B31" s="6" t="s">
        <v>31</v>
      </c>
      <c r="C31" s="6" t="s">
        <v>32</v>
      </c>
      <c r="D31" s="6" t="s">
        <v>33</v>
      </c>
      <c r="E31" s="6" t="s">
        <v>34</v>
      </c>
      <c r="F31" s="6" t="s">
        <v>35</v>
      </c>
      <c r="G31" s="5" t="n">
        <v>46308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5"/>
    <col collapsed="false" customWidth="true" hidden="false" outlineLevel="0" max="9" min="9" style="0" width="9"/>
    <col collapsed="false" customWidth="true" hidden="false" outlineLevel="0" max="10" min="10" style="0" width="22"/>
    <col collapsed="false" customWidth="true" hidden="false" outlineLevel="0" max="12" min="11" style="0" width="14"/>
    <col collapsed="false" customWidth="true" hidden="false" outlineLevel="0" max="13" min="13" style="0" width="18"/>
    <col collapsed="false" customWidth="true" hidden="false" outlineLevel="0" max="14" min="14" style="0" width="30"/>
    <col collapsed="false" customWidth="true" hidden="false" outlineLevel="0" max="15" min="15" style="0" width="24"/>
    <col collapsed="false" customWidth="true" hidden="false" outlineLevel="0" max="16" min="16" style="0" width="36"/>
    <col collapsed="false" customWidth="true" hidden="false" outlineLevel="0" max="17" min="17" style="0" width="11"/>
    <col collapsed="false" customWidth="true" hidden="false" outlineLevel="0" max="18" min="18" style="0" width="13"/>
  </cols>
  <sheetData>
    <row r="1" customFormat="false" ht="30" hidden="false" customHeight="true" outlineLevel="0" collapsed="false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8" t="s">
        <v>29</v>
      </c>
      <c r="R1" s="8" t="s">
        <v>30</v>
      </c>
    </row>
    <row r="2" customFormat="false" ht="79.85" hidden="false" customHeight="false" outlineLevel="0" collapsed="false">
      <c r="A2" s="9" t="s">
        <v>47</v>
      </c>
      <c r="B2" s="9" t="n">
        <v>712</v>
      </c>
      <c r="C2" s="10" t="s">
        <v>48</v>
      </c>
      <c r="D2" s="10" t="s">
        <v>49</v>
      </c>
      <c r="E2" s="9" t="s">
        <v>50</v>
      </c>
      <c r="F2" s="9" t="s">
        <v>51</v>
      </c>
      <c r="G2" s="11" t="n">
        <v>45943</v>
      </c>
      <c r="H2" s="11" t="n">
        <v>46308</v>
      </c>
      <c r="I2" s="12" t="n">
        <f aca="true">IF(H2="","",H2-TODAY())</f>
        <v>1</v>
      </c>
      <c r="J2" s="10" t="s">
        <v>52</v>
      </c>
      <c r="K2" s="13" t="s">
        <v>53</v>
      </c>
      <c r="L2" s="14"/>
      <c r="M2" s="15"/>
      <c r="N2" s="16"/>
      <c r="O2" s="15"/>
      <c r="P2" s="16"/>
      <c r="Q2" s="15"/>
      <c r="R2" s="14"/>
    </row>
    <row r="3" customFormat="false" ht="46.25" hidden="false" customHeight="false" outlineLevel="0" collapsed="false">
      <c r="A3" s="9" t="s">
        <v>47</v>
      </c>
      <c r="B3" s="9" t="n">
        <v>99</v>
      </c>
      <c r="C3" s="10" t="s">
        <v>54</v>
      </c>
      <c r="D3" s="10" t="s">
        <v>55</v>
      </c>
      <c r="E3" s="9" t="s">
        <v>50</v>
      </c>
      <c r="F3" s="9" t="s">
        <v>51</v>
      </c>
      <c r="G3" s="11" t="n">
        <v>45947</v>
      </c>
      <c r="H3" s="11" t="n">
        <v>46312</v>
      </c>
      <c r="I3" s="12" t="n">
        <f aca="true">IF(H3="","",H3-TODAY())</f>
        <v>5</v>
      </c>
      <c r="J3" s="10" t="s">
        <v>56</v>
      </c>
      <c r="K3" s="13" t="s">
        <v>53</v>
      </c>
      <c r="L3" s="14"/>
      <c r="M3" s="15"/>
      <c r="N3" s="16"/>
      <c r="O3" s="15"/>
      <c r="P3" s="16"/>
      <c r="Q3" s="15"/>
      <c r="R3" s="14"/>
    </row>
    <row r="4" customFormat="false" ht="35.05" hidden="false" customHeight="false" outlineLevel="0" collapsed="false">
      <c r="A4" s="9" t="s">
        <v>47</v>
      </c>
      <c r="B4" s="9" t="n">
        <v>1119</v>
      </c>
      <c r="C4" s="10" t="s">
        <v>57</v>
      </c>
      <c r="D4" s="10" t="s">
        <v>58</v>
      </c>
      <c r="E4" s="9" t="s">
        <v>59</v>
      </c>
      <c r="F4" s="9" t="s">
        <v>51</v>
      </c>
      <c r="G4" s="11" t="n">
        <v>45947</v>
      </c>
      <c r="H4" s="11" t="n">
        <v>46312</v>
      </c>
      <c r="I4" s="12" t="n">
        <f aca="true">IF(H4="","",H4-TODAY())</f>
        <v>5</v>
      </c>
      <c r="J4" s="10" t="s">
        <v>60</v>
      </c>
      <c r="K4" s="13" t="s">
        <v>53</v>
      </c>
      <c r="L4" s="14"/>
      <c r="M4" s="15"/>
      <c r="N4" s="16"/>
      <c r="O4" s="15"/>
      <c r="P4" s="16"/>
      <c r="Q4" s="15"/>
      <c r="R4" s="14"/>
    </row>
    <row r="5" customFormat="false" ht="35.05" hidden="false" customHeight="false" outlineLevel="0" collapsed="false">
      <c r="A5" s="9" t="s">
        <v>47</v>
      </c>
      <c r="B5" s="9" t="n">
        <v>545</v>
      </c>
      <c r="C5" s="10" t="s">
        <v>61</v>
      </c>
      <c r="D5" s="10" t="s">
        <v>62</v>
      </c>
      <c r="E5" s="9" t="s">
        <v>59</v>
      </c>
      <c r="F5" s="9" t="s">
        <v>63</v>
      </c>
      <c r="G5" s="11" t="n">
        <v>45962</v>
      </c>
      <c r="H5" s="11" t="n">
        <v>46327</v>
      </c>
      <c r="I5" s="12" t="n">
        <f aca="true">IF(H5="","",H5-TODAY())</f>
        <v>20</v>
      </c>
      <c r="J5" s="10" t="s">
        <v>64</v>
      </c>
      <c r="K5" s="13" t="s">
        <v>53</v>
      </c>
      <c r="L5" s="14"/>
      <c r="M5" s="15"/>
      <c r="N5" s="16"/>
      <c r="O5" s="15"/>
      <c r="P5" s="16"/>
      <c r="Q5" s="15"/>
      <c r="R5" s="14"/>
    </row>
    <row r="6" customFormat="false" ht="23.85" hidden="false" customHeight="false" outlineLevel="0" collapsed="false">
      <c r="A6" s="9" t="s">
        <v>47</v>
      </c>
      <c r="B6" s="9" t="n">
        <v>309</v>
      </c>
      <c r="C6" s="10" t="s">
        <v>65</v>
      </c>
      <c r="D6" s="10" t="s">
        <v>66</v>
      </c>
      <c r="E6" s="9" t="s">
        <v>59</v>
      </c>
      <c r="F6" s="9" t="s">
        <v>63</v>
      </c>
      <c r="G6" s="11" t="n">
        <v>45962</v>
      </c>
      <c r="H6" s="11" t="n">
        <v>46327</v>
      </c>
      <c r="I6" s="12" t="n">
        <f aca="true">IF(H6="","",H6-TODAY())</f>
        <v>20</v>
      </c>
      <c r="J6" s="10" t="s">
        <v>67</v>
      </c>
      <c r="K6" s="13" t="s">
        <v>53</v>
      </c>
      <c r="L6" s="14"/>
      <c r="M6" s="15"/>
      <c r="N6" s="16"/>
      <c r="O6" s="15"/>
      <c r="P6" s="16"/>
      <c r="Q6" s="15"/>
      <c r="R6" s="14"/>
    </row>
    <row r="7" customFormat="false" ht="23.85" hidden="false" customHeight="false" outlineLevel="0" collapsed="false">
      <c r="A7" s="9" t="s">
        <v>47</v>
      </c>
      <c r="B7" s="9" t="n">
        <v>34</v>
      </c>
      <c r="C7" s="10" t="s">
        <v>68</v>
      </c>
      <c r="D7" s="10" t="s">
        <v>69</v>
      </c>
      <c r="E7" s="9" t="s">
        <v>59</v>
      </c>
      <c r="F7" s="9" t="s">
        <v>51</v>
      </c>
      <c r="G7" s="11" t="n">
        <v>45976</v>
      </c>
      <c r="H7" s="11" t="n">
        <v>46341</v>
      </c>
      <c r="I7" s="12" t="n">
        <f aca="true">IF(H7="","",H7-TODAY())</f>
        <v>34</v>
      </c>
      <c r="J7" s="10" t="s">
        <v>70</v>
      </c>
      <c r="K7" s="13" t="s">
        <v>53</v>
      </c>
      <c r="L7" s="14"/>
      <c r="M7" s="15"/>
      <c r="N7" s="16"/>
      <c r="O7" s="15"/>
      <c r="P7" s="16"/>
      <c r="Q7" s="15"/>
      <c r="R7" s="14"/>
    </row>
    <row r="8" customFormat="false" ht="15" hidden="false" customHeight="false" outlineLevel="0" collapsed="false">
      <c r="A8" s="9" t="s">
        <v>47</v>
      </c>
      <c r="B8" s="9" t="n">
        <v>1107</v>
      </c>
      <c r="C8" s="10" t="s">
        <v>71</v>
      </c>
      <c r="D8" s="10" t="s">
        <v>72</v>
      </c>
      <c r="E8" s="9" t="s">
        <v>50</v>
      </c>
      <c r="F8" s="9" t="s">
        <v>51</v>
      </c>
      <c r="G8" s="11" t="n">
        <v>45985</v>
      </c>
      <c r="H8" s="11" t="n">
        <v>46350</v>
      </c>
      <c r="I8" s="12" t="n">
        <f aca="true">IF(H8="","",H8-TODAY())</f>
        <v>43</v>
      </c>
      <c r="J8" s="10"/>
      <c r="K8" s="13" t="s">
        <v>53</v>
      </c>
      <c r="L8" s="14"/>
      <c r="M8" s="15"/>
      <c r="N8" s="16"/>
      <c r="O8" s="15"/>
      <c r="P8" s="16"/>
      <c r="Q8" s="15"/>
      <c r="R8" s="14"/>
    </row>
    <row r="9" customFormat="false" ht="23.85" hidden="false" customHeight="false" outlineLevel="0" collapsed="false">
      <c r="A9" s="9" t="s">
        <v>47</v>
      </c>
      <c r="B9" s="9" t="n">
        <v>1120</v>
      </c>
      <c r="C9" s="10" t="s">
        <v>73</v>
      </c>
      <c r="D9" s="10" t="s">
        <v>74</v>
      </c>
      <c r="E9" s="9" t="s">
        <v>59</v>
      </c>
      <c r="F9" s="9" t="s">
        <v>51</v>
      </c>
      <c r="G9" s="11" t="n">
        <v>45991</v>
      </c>
      <c r="H9" s="11" t="n">
        <v>46356</v>
      </c>
      <c r="I9" s="12" t="n">
        <f aca="true">IF(H9="","",H9-TODAY())</f>
        <v>49</v>
      </c>
      <c r="J9" s="10" t="s">
        <v>75</v>
      </c>
      <c r="K9" s="13" t="s">
        <v>53</v>
      </c>
      <c r="L9" s="14"/>
      <c r="M9" s="15"/>
      <c r="N9" s="16"/>
      <c r="O9" s="15"/>
      <c r="P9" s="16"/>
      <c r="Q9" s="15"/>
      <c r="R9" s="14"/>
    </row>
    <row r="10" customFormat="false" ht="23.85" hidden="false" customHeight="false" outlineLevel="0" collapsed="false">
      <c r="A10" s="9" t="s">
        <v>47</v>
      </c>
      <c r="B10" s="9" t="n">
        <v>914</v>
      </c>
      <c r="C10" s="10" t="s">
        <v>76</v>
      </c>
      <c r="D10" s="10" t="s">
        <v>77</v>
      </c>
      <c r="E10" s="9" t="s">
        <v>59</v>
      </c>
      <c r="F10" s="9" t="s">
        <v>51</v>
      </c>
      <c r="G10" s="11" t="n">
        <v>45992</v>
      </c>
      <c r="H10" s="11" t="n">
        <v>46357</v>
      </c>
      <c r="I10" s="12" t="n">
        <f aca="true">IF(H10="","",H10-TODAY())</f>
        <v>50</v>
      </c>
      <c r="J10" s="10" t="s">
        <v>78</v>
      </c>
      <c r="K10" s="13" t="s">
        <v>53</v>
      </c>
      <c r="L10" s="14"/>
      <c r="M10" s="15"/>
      <c r="N10" s="16"/>
      <c r="O10" s="15"/>
      <c r="P10" s="16"/>
      <c r="Q10" s="15"/>
      <c r="R10" s="14"/>
    </row>
    <row r="11" customFormat="false" ht="35.05" hidden="false" customHeight="false" outlineLevel="0" collapsed="false">
      <c r="A11" s="9" t="s">
        <v>47</v>
      </c>
      <c r="B11" s="9" t="n">
        <v>198</v>
      </c>
      <c r="C11" s="10" t="s">
        <v>79</v>
      </c>
      <c r="D11" s="10" t="s">
        <v>80</v>
      </c>
      <c r="E11" s="9" t="s">
        <v>50</v>
      </c>
      <c r="F11" s="9" t="s">
        <v>63</v>
      </c>
      <c r="G11" s="11" t="n">
        <v>45992</v>
      </c>
      <c r="H11" s="11" t="n">
        <v>46357</v>
      </c>
      <c r="I11" s="12" t="n">
        <f aca="true">IF(H11="","",H11-TODAY())</f>
        <v>50</v>
      </c>
      <c r="J11" s="10" t="s">
        <v>81</v>
      </c>
      <c r="K11" s="13" t="s">
        <v>53</v>
      </c>
      <c r="L11" s="14"/>
      <c r="M11" s="15"/>
      <c r="N11" s="16"/>
      <c r="O11" s="15"/>
      <c r="P11" s="16"/>
      <c r="Q11" s="15"/>
      <c r="R11" s="14"/>
    </row>
    <row r="12" customFormat="false" ht="57.45" hidden="false" customHeight="false" outlineLevel="0" collapsed="false">
      <c r="A12" s="9" t="s">
        <v>47</v>
      </c>
      <c r="B12" s="9" t="n">
        <v>1069</v>
      </c>
      <c r="C12" s="10" t="s">
        <v>82</v>
      </c>
      <c r="D12" s="10" t="s">
        <v>83</v>
      </c>
      <c r="E12" s="9" t="s">
        <v>50</v>
      </c>
      <c r="F12" s="9" t="s">
        <v>63</v>
      </c>
      <c r="G12" s="11" t="n">
        <v>45992</v>
      </c>
      <c r="H12" s="11" t="n">
        <v>46357</v>
      </c>
      <c r="I12" s="12" t="n">
        <f aca="true">IF(H12="","",H12-TODAY())</f>
        <v>50</v>
      </c>
      <c r="J12" s="10" t="s">
        <v>84</v>
      </c>
      <c r="K12" s="13" t="s">
        <v>53</v>
      </c>
      <c r="L12" s="14"/>
      <c r="M12" s="15"/>
      <c r="N12" s="16"/>
      <c r="O12" s="15"/>
      <c r="P12" s="16"/>
      <c r="Q12" s="15"/>
      <c r="R12" s="14"/>
    </row>
    <row r="13" customFormat="false" ht="23.85" hidden="false" customHeight="false" outlineLevel="0" collapsed="false">
      <c r="A13" s="9" t="s">
        <v>47</v>
      </c>
      <c r="B13" s="9" t="n">
        <v>668</v>
      </c>
      <c r="C13" s="10" t="s">
        <v>85</v>
      </c>
      <c r="D13" s="10" t="s">
        <v>86</v>
      </c>
      <c r="E13" s="9" t="s">
        <v>59</v>
      </c>
      <c r="F13" s="9" t="s">
        <v>51</v>
      </c>
      <c r="G13" s="11" t="n">
        <v>45995</v>
      </c>
      <c r="H13" s="11" t="n">
        <v>46360</v>
      </c>
      <c r="I13" s="12" t="n">
        <f aca="true">IF(H13="","",H13-TODAY())</f>
        <v>53</v>
      </c>
      <c r="J13" s="10" t="s">
        <v>87</v>
      </c>
      <c r="K13" s="13" t="s">
        <v>53</v>
      </c>
      <c r="L13" s="14"/>
      <c r="M13" s="15"/>
      <c r="N13" s="16"/>
      <c r="O13" s="15"/>
      <c r="P13" s="16"/>
      <c r="Q13" s="15"/>
      <c r="R13" s="14"/>
    </row>
    <row r="14" customFormat="false" ht="23.85" hidden="false" customHeight="false" outlineLevel="0" collapsed="false">
      <c r="A14" s="9" t="s">
        <v>47</v>
      </c>
      <c r="B14" s="9" t="n">
        <v>188</v>
      </c>
      <c r="C14" s="10" t="s">
        <v>88</v>
      </c>
      <c r="D14" s="10" t="s">
        <v>62</v>
      </c>
      <c r="E14" s="9" t="s">
        <v>50</v>
      </c>
      <c r="F14" s="9" t="s">
        <v>51</v>
      </c>
      <c r="G14" s="11" t="n">
        <v>46003</v>
      </c>
      <c r="H14" s="11" t="n">
        <v>46368</v>
      </c>
      <c r="I14" s="12" t="n">
        <f aca="true">IF(H14="","",H14-TODAY())</f>
        <v>61</v>
      </c>
      <c r="J14" s="10" t="s">
        <v>89</v>
      </c>
      <c r="K14" s="13" t="s">
        <v>53</v>
      </c>
      <c r="L14" s="14"/>
      <c r="M14" s="15"/>
      <c r="N14" s="16"/>
      <c r="O14" s="15"/>
      <c r="P14" s="16"/>
      <c r="Q14" s="15"/>
      <c r="R14" s="14"/>
    </row>
    <row r="15" customFormat="false" ht="23.85" hidden="false" customHeight="false" outlineLevel="0" collapsed="false">
      <c r="A15" s="9" t="s">
        <v>47</v>
      </c>
      <c r="B15" s="9" t="n">
        <v>140</v>
      </c>
      <c r="C15" s="10" t="s">
        <v>90</v>
      </c>
      <c r="D15" s="10" t="s">
        <v>91</v>
      </c>
      <c r="E15" s="9" t="s">
        <v>59</v>
      </c>
      <c r="F15" s="9" t="s">
        <v>63</v>
      </c>
      <c r="G15" s="11" t="n">
        <v>46005</v>
      </c>
      <c r="H15" s="11" t="n">
        <v>46370</v>
      </c>
      <c r="I15" s="12" t="n">
        <f aca="true">IF(H15="","",H15-TODAY())</f>
        <v>63</v>
      </c>
      <c r="J15" s="10" t="s">
        <v>92</v>
      </c>
      <c r="K15" s="13" t="s">
        <v>53</v>
      </c>
      <c r="L15" s="14"/>
      <c r="M15" s="15"/>
      <c r="N15" s="16"/>
      <c r="O15" s="15"/>
      <c r="P15" s="16"/>
      <c r="Q15" s="15"/>
      <c r="R15" s="14"/>
    </row>
    <row r="16" customFormat="false" ht="23.85" hidden="false" customHeight="false" outlineLevel="0" collapsed="false">
      <c r="A16" s="9" t="s">
        <v>47</v>
      </c>
      <c r="B16" s="9" t="n">
        <v>726</v>
      </c>
      <c r="C16" s="10" t="s">
        <v>93</v>
      </c>
      <c r="D16" s="10" t="s">
        <v>94</v>
      </c>
      <c r="E16" s="9" t="s">
        <v>59</v>
      </c>
      <c r="F16" s="9" t="s">
        <v>51</v>
      </c>
      <c r="G16" s="11" t="n">
        <v>46006</v>
      </c>
      <c r="H16" s="11" t="n">
        <v>46371</v>
      </c>
      <c r="I16" s="12" t="n">
        <f aca="true">IF(H16="","",H16-TODAY())</f>
        <v>64</v>
      </c>
      <c r="J16" s="10" t="s">
        <v>95</v>
      </c>
      <c r="K16" s="13" t="s">
        <v>53</v>
      </c>
      <c r="L16" s="14"/>
      <c r="M16" s="15"/>
      <c r="N16" s="16"/>
      <c r="O16" s="15"/>
      <c r="P16" s="16"/>
      <c r="Q16" s="15"/>
      <c r="R16" s="14"/>
    </row>
    <row r="17" customFormat="false" ht="15" hidden="false" customHeight="false" outlineLevel="0" collapsed="false">
      <c r="A17" s="9" t="s">
        <v>47</v>
      </c>
      <c r="B17" s="9" t="n">
        <v>510</v>
      </c>
      <c r="C17" s="10" t="s">
        <v>96</v>
      </c>
      <c r="D17" s="10" t="s">
        <v>97</v>
      </c>
      <c r="E17" s="9" t="s">
        <v>50</v>
      </c>
      <c r="F17" s="9" t="s">
        <v>98</v>
      </c>
      <c r="G17" s="11" t="n">
        <v>46012</v>
      </c>
      <c r="H17" s="11" t="n">
        <v>46377</v>
      </c>
      <c r="I17" s="12" t="n">
        <f aca="true">IF(H17="","",H17-TODAY())</f>
        <v>70</v>
      </c>
      <c r="J17" s="10" t="s">
        <v>99</v>
      </c>
      <c r="K17" s="13" t="s">
        <v>53</v>
      </c>
      <c r="L17" s="14"/>
      <c r="M17" s="15"/>
      <c r="N17" s="16"/>
      <c r="O17" s="15"/>
      <c r="P17" s="16"/>
      <c r="Q17" s="15"/>
      <c r="R17" s="14"/>
    </row>
    <row r="18" customFormat="false" ht="35.05" hidden="false" customHeight="false" outlineLevel="0" collapsed="false">
      <c r="A18" s="9" t="s">
        <v>47</v>
      </c>
      <c r="B18" s="9" t="n">
        <v>304</v>
      </c>
      <c r="C18" s="10" t="s">
        <v>100</v>
      </c>
      <c r="D18" s="10" t="s">
        <v>101</v>
      </c>
      <c r="E18" s="9" t="s">
        <v>50</v>
      </c>
      <c r="F18" s="9" t="s">
        <v>51</v>
      </c>
      <c r="G18" s="11" t="n">
        <v>46021</v>
      </c>
      <c r="H18" s="11" t="n">
        <v>46386</v>
      </c>
      <c r="I18" s="12" t="n">
        <f aca="true">IF(H18="","",H18-TODAY())</f>
        <v>79</v>
      </c>
      <c r="J18" s="10" t="s">
        <v>102</v>
      </c>
      <c r="K18" s="13" t="s">
        <v>53</v>
      </c>
      <c r="L18" s="14"/>
      <c r="M18" s="15"/>
      <c r="N18" s="16"/>
      <c r="O18" s="15"/>
      <c r="P18" s="16"/>
      <c r="Q18" s="15"/>
      <c r="R18" s="14"/>
    </row>
    <row r="19" customFormat="false" ht="35.05" hidden="false" customHeight="false" outlineLevel="0" collapsed="false">
      <c r="A19" s="9" t="s">
        <v>47</v>
      </c>
      <c r="B19" s="9" t="n">
        <v>396</v>
      </c>
      <c r="C19" s="10" t="s">
        <v>103</v>
      </c>
      <c r="D19" s="10" t="s">
        <v>104</v>
      </c>
      <c r="E19" s="9" t="s">
        <v>50</v>
      </c>
      <c r="F19" s="9" t="s">
        <v>51</v>
      </c>
      <c r="G19" s="11" t="n">
        <v>46022</v>
      </c>
      <c r="H19" s="11" t="n">
        <v>46387</v>
      </c>
      <c r="I19" s="12" t="n">
        <f aca="true">IF(H19="","",H19-TODAY())</f>
        <v>80</v>
      </c>
      <c r="J19" s="10" t="s">
        <v>105</v>
      </c>
      <c r="K19" s="13" t="s">
        <v>53</v>
      </c>
      <c r="L19" s="14"/>
      <c r="M19" s="15"/>
      <c r="N19" s="16"/>
      <c r="O19" s="15"/>
      <c r="P19" s="16"/>
      <c r="Q19" s="15"/>
      <c r="R19" s="14"/>
    </row>
    <row r="20" customFormat="false" ht="23.85" hidden="false" customHeight="false" outlineLevel="0" collapsed="false">
      <c r="A20" s="9" t="s">
        <v>47</v>
      </c>
      <c r="B20" s="9" t="n">
        <v>1112</v>
      </c>
      <c r="C20" s="10" t="s">
        <v>106</v>
      </c>
      <c r="D20" s="10" t="s">
        <v>107</v>
      </c>
      <c r="E20" s="9" t="s">
        <v>50</v>
      </c>
      <c r="F20" s="9" t="s">
        <v>63</v>
      </c>
      <c r="G20" s="11" t="n">
        <v>46022</v>
      </c>
      <c r="H20" s="11" t="n">
        <v>46387</v>
      </c>
      <c r="I20" s="12" t="n">
        <f aca="true">IF(H20="","",H20-TODAY())</f>
        <v>80</v>
      </c>
      <c r="J20" s="10" t="s">
        <v>108</v>
      </c>
      <c r="K20" s="13" t="s">
        <v>53</v>
      </c>
      <c r="L20" s="14"/>
      <c r="M20" s="15"/>
      <c r="N20" s="16"/>
      <c r="O20" s="15"/>
      <c r="P20" s="16"/>
      <c r="Q20" s="15"/>
      <c r="R20" s="14"/>
    </row>
    <row r="21" customFormat="false" ht="35.05" hidden="false" customHeight="false" outlineLevel="0" collapsed="false">
      <c r="A21" s="9" t="s">
        <v>47</v>
      </c>
      <c r="B21" s="9" t="n">
        <v>992</v>
      </c>
      <c r="C21" s="10" t="s">
        <v>109</v>
      </c>
      <c r="D21" s="10" t="s">
        <v>110</v>
      </c>
      <c r="E21" s="9" t="s">
        <v>59</v>
      </c>
      <c r="F21" s="9" t="s">
        <v>63</v>
      </c>
      <c r="G21" s="11" t="n">
        <v>46022</v>
      </c>
      <c r="H21" s="11" t="n">
        <v>46387</v>
      </c>
      <c r="I21" s="12" t="n">
        <f aca="true">IF(H21="","",H21-TODAY())</f>
        <v>80</v>
      </c>
      <c r="J21" s="10" t="s">
        <v>111</v>
      </c>
      <c r="K21" s="13" t="s">
        <v>53</v>
      </c>
      <c r="L21" s="14"/>
      <c r="M21" s="15"/>
      <c r="N21" s="16"/>
      <c r="O21" s="15"/>
      <c r="P21" s="16"/>
      <c r="Q21" s="15"/>
      <c r="R21" s="14"/>
    </row>
    <row r="22" customFormat="false" ht="23.85" hidden="false" customHeight="false" outlineLevel="0" collapsed="false">
      <c r="A22" s="9" t="s">
        <v>47</v>
      </c>
      <c r="B22" s="9" t="n">
        <v>1121</v>
      </c>
      <c r="C22" s="10" t="s">
        <v>112</v>
      </c>
      <c r="D22" s="10" t="s">
        <v>113</v>
      </c>
      <c r="E22" s="9" t="s">
        <v>59</v>
      </c>
      <c r="F22" s="9" t="s">
        <v>63</v>
      </c>
      <c r="G22" s="11" t="n">
        <v>46025</v>
      </c>
      <c r="H22" s="11" t="n">
        <v>46390</v>
      </c>
      <c r="I22" s="12" t="n">
        <f aca="true">IF(H22="","",H22-TODAY())</f>
        <v>83</v>
      </c>
      <c r="J22" s="10" t="s">
        <v>114</v>
      </c>
      <c r="K22" s="13" t="s">
        <v>53</v>
      </c>
      <c r="L22" s="14"/>
      <c r="M22" s="15"/>
      <c r="N22" s="16"/>
      <c r="O22" s="15"/>
      <c r="P22" s="16"/>
      <c r="Q22" s="15"/>
      <c r="R22" s="14"/>
    </row>
    <row r="23" customFormat="false" ht="23.85" hidden="false" customHeight="false" outlineLevel="0" collapsed="false">
      <c r="A23" s="9" t="s">
        <v>47</v>
      </c>
      <c r="B23" s="9" t="n">
        <v>184</v>
      </c>
      <c r="C23" s="10" t="s">
        <v>115</v>
      </c>
      <c r="D23" s="10" t="s">
        <v>116</v>
      </c>
      <c r="E23" s="9" t="s">
        <v>59</v>
      </c>
      <c r="F23" s="9" t="s">
        <v>63</v>
      </c>
      <c r="G23" s="11" t="n">
        <v>46029</v>
      </c>
      <c r="H23" s="11" t="n">
        <v>46394</v>
      </c>
      <c r="I23" s="12" t="n">
        <f aca="true">IF(H23="","",H23-TODAY())</f>
        <v>87</v>
      </c>
      <c r="J23" s="10" t="s">
        <v>117</v>
      </c>
      <c r="K23" s="13" t="s">
        <v>53</v>
      </c>
      <c r="L23" s="14"/>
      <c r="M23" s="15"/>
      <c r="N23" s="16"/>
      <c r="O23" s="15"/>
      <c r="P23" s="16"/>
      <c r="Q23" s="15"/>
      <c r="R23" s="14"/>
    </row>
    <row r="24" customFormat="false" ht="35.05" hidden="false" customHeight="false" outlineLevel="0" collapsed="false">
      <c r="A24" s="9" t="s">
        <v>47</v>
      </c>
      <c r="B24" s="9" t="n">
        <v>183</v>
      </c>
      <c r="C24" s="10" t="s">
        <v>118</v>
      </c>
      <c r="D24" s="10" t="s">
        <v>119</v>
      </c>
      <c r="E24" s="9" t="s">
        <v>59</v>
      </c>
      <c r="F24" s="9" t="s">
        <v>63</v>
      </c>
      <c r="G24" s="11" t="n">
        <v>46029</v>
      </c>
      <c r="H24" s="11" t="n">
        <v>46394</v>
      </c>
      <c r="I24" s="12" t="n">
        <f aca="true">IF(H24="","",H24-TODAY())</f>
        <v>87</v>
      </c>
      <c r="J24" s="10" t="s">
        <v>120</v>
      </c>
      <c r="K24" s="13" t="s">
        <v>53</v>
      </c>
      <c r="L24" s="14"/>
      <c r="M24" s="15"/>
      <c r="N24" s="16"/>
      <c r="O24" s="15"/>
      <c r="P24" s="16"/>
      <c r="Q24" s="15"/>
      <c r="R24" s="14"/>
    </row>
    <row r="25" customFormat="false" ht="35.05" hidden="false" customHeight="false" outlineLevel="0" collapsed="false">
      <c r="A25" s="9" t="s">
        <v>47</v>
      </c>
      <c r="B25" s="9" t="n">
        <v>128</v>
      </c>
      <c r="C25" s="10" t="s">
        <v>121</v>
      </c>
      <c r="D25" s="10" t="s">
        <v>122</v>
      </c>
      <c r="E25" s="9" t="s">
        <v>50</v>
      </c>
      <c r="F25" s="9" t="s">
        <v>63</v>
      </c>
      <c r="G25" s="11" t="n">
        <v>46030</v>
      </c>
      <c r="H25" s="11" t="n">
        <v>46395</v>
      </c>
      <c r="I25" s="12" t="n">
        <f aca="true">IF(H25="","",H25-TODAY())</f>
        <v>88</v>
      </c>
      <c r="J25" s="10" t="s">
        <v>123</v>
      </c>
      <c r="K25" s="13" t="s">
        <v>53</v>
      </c>
      <c r="L25" s="14"/>
      <c r="M25" s="15"/>
      <c r="N25" s="16"/>
      <c r="O25" s="15"/>
      <c r="P25" s="16"/>
      <c r="Q25" s="15"/>
      <c r="R25" s="14"/>
    </row>
    <row r="26" customFormat="false" ht="23.85" hidden="false" customHeight="false" outlineLevel="0" collapsed="false">
      <c r="A26" s="9" t="s">
        <v>124</v>
      </c>
      <c r="B26" s="9" t="n">
        <v>944</v>
      </c>
      <c r="C26" s="10" t="s">
        <v>125</v>
      </c>
      <c r="D26" s="10" t="s">
        <v>126</v>
      </c>
      <c r="E26" s="9" t="s">
        <v>50</v>
      </c>
      <c r="F26" s="9" t="s">
        <v>63</v>
      </c>
      <c r="G26" s="11" t="n">
        <v>46033</v>
      </c>
      <c r="H26" s="11" t="n">
        <v>46398</v>
      </c>
      <c r="I26" s="12" t="n">
        <f aca="true">IF(H26="","",H26-TODAY())</f>
        <v>91</v>
      </c>
      <c r="J26" s="10" t="s">
        <v>127</v>
      </c>
      <c r="K26" s="13" t="s">
        <v>53</v>
      </c>
      <c r="L26" s="14"/>
      <c r="M26" s="15"/>
      <c r="N26" s="16"/>
      <c r="O26" s="15"/>
      <c r="P26" s="16"/>
      <c r="Q26" s="15"/>
      <c r="R26" s="14"/>
    </row>
    <row r="27" customFormat="false" ht="23.85" hidden="false" customHeight="false" outlineLevel="0" collapsed="false">
      <c r="A27" s="9" t="s">
        <v>124</v>
      </c>
      <c r="B27" s="9" t="n">
        <v>945</v>
      </c>
      <c r="C27" s="10" t="s">
        <v>128</v>
      </c>
      <c r="D27" s="10" t="s">
        <v>126</v>
      </c>
      <c r="E27" s="9" t="s">
        <v>50</v>
      </c>
      <c r="F27" s="9" t="s">
        <v>63</v>
      </c>
      <c r="G27" s="11" t="n">
        <v>46033</v>
      </c>
      <c r="H27" s="11" t="n">
        <v>46398</v>
      </c>
      <c r="I27" s="12" t="n">
        <f aca="true">IF(H27="","",H27-TODAY())</f>
        <v>91</v>
      </c>
      <c r="J27" s="10" t="s">
        <v>129</v>
      </c>
      <c r="K27" s="13" t="s">
        <v>53</v>
      </c>
      <c r="L27" s="14"/>
      <c r="M27" s="15"/>
      <c r="N27" s="16"/>
      <c r="O27" s="15"/>
      <c r="P27" s="16"/>
      <c r="Q27" s="15"/>
      <c r="R27" s="14"/>
    </row>
    <row r="28" customFormat="false" ht="23.85" hidden="false" customHeight="false" outlineLevel="0" collapsed="false">
      <c r="A28" s="9" t="s">
        <v>124</v>
      </c>
      <c r="B28" s="9" t="n">
        <v>500</v>
      </c>
      <c r="C28" s="10" t="s">
        <v>130</v>
      </c>
      <c r="D28" s="10" t="s">
        <v>131</v>
      </c>
      <c r="E28" s="9" t="s">
        <v>50</v>
      </c>
      <c r="F28" s="9" t="s">
        <v>63</v>
      </c>
      <c r="G28" s="11" t="n">
        <v>46037</v>
      </c>
      <c r="H28" s="11" t="n">
        <v>46402</v>
      </c>
      <c r="I28" s="12" t="n">
        <f aca="true">IF(H28="","",H28-TODAY())</f>
        <v>95</v>
      </c>
      <c r="J28" s="10" t="s">
        <v>132</v>
      </c>
      <c r="K28" s="13" t="s">
        <v>53</v>
      </c>
      <c r="L28" s="14"/>
      <c r="M28" s="15"/>
      <c r="N28" s="16"/>
      <c r="O28" s="15"/>
      <c r="P28" s="16"/>
      <c r="Q28" s="15"/>
      <c r="R28" s="14"/>
    </row>
    <row r="29" customFormat="false" ht="35.05" hidden="false" customHeight="false" outlineLevel="0" collapsed="false">
      <c r="A29" s="9" t="s">
        <v>124</v>
      </c>
      <c r="B29" s="9" t="n">
        <v>221</v>
      </c>
      <c r="C29" s="10" t="s">
        <v>133</v>
      </c>
      <c r="D29" s="10" t="s">
        <v>134</v>
      </c>
      <c r="E29" s="9" t="s">
        <v>50</v>
      </c>
      <c r="F29" s="9" t="s">
        <v>51</v>
      </c>
      <c r="G29" s="11" t="n">
        <v>46037</v>
      </c>
      <c r="H29" s="11" t="n">
        <v>46402</v>
      </c>
      <c r="I29" s="12" t="n">
        <f aca="true">IF(H29="","",H29-TODAY())</f>
        <v>95</v>
      </c>
      <c r="J29" s="10" t="s">
        <v>135</v>
      </c>
      <c r="K29" s="13" t="s">
        <v>53</v>
      </c>
      <c r="L29" s="14"/>
      <c r="M29" s="15"/>
      <c r="N29" s="16"/>
      <c r="O29" s="15"/>
      <c r="P29" s="16"/>
      <c r="Q29" s="15"/>
      <c r="R29" s="14"/>
    </row>
    <row r="30" customFormat="false" ht="23.85" hidden="false" customHeight="false" outlineLevel="0" collapsed="false">
      <c r="A30" s="9" t="s">
        <v>124</v>
      </c>
      <c r="B30" s="9" t="n">
        <v>256</v>
      </c>
      <c r="C30" s="10" t="s">
        <v>136</v>
      </c>
      <c r="D30" s="10" t="s">
        <v>137</v>
      </c>
      <c r="E30" s="9" t="s">
        <v>50</v>
      </c>
      <c r="F30" s="9" t="s">
        <v>98</v>
      </c>
      <c r="G30" s="11" t="n">
        <v>46038</v>
      </c>
      <c r="H30" s="11" t="n">
        <v>46403</v>
      </c>
      <c r="I30" s="12" t="n">
        <f aca="true">IF(H30="","",H30-TODAY())</f>
        <v>96</v>
      </c>
      <c r="J30" s="10" t="s">
        <v>138</v>
      </c>
      <c r="K30" s="13" t="s">
        <v>53</v>
      </c>
      <c r="L30" s="14"/>
      <c r="M30" s="15"/>
      <c r="N30" s="16"/>
      <c r="O30" s="15"/>
      <c r="P30" s="16"/>
      <c r="Q30" s="15"/>
      <c r="R30" s="14"/>
    </row>
    <row r="31" customFormat="false" ht="35.05" hidden="false" customHeight="false" outlineLevel="0" collapsed="false">
      <c r="A31" s="9" t="s">
        <v>124</v>
      </c>
      <c r="B31" s="9" t="n">
        <v>72</v>
      </c>
      <c r="C31" s="10" t="s">
        <v>139</v>
      </c>
      <c r="D31" s="10" t="s">
        <v>140</v>
      </c>
      <c r="E31" s="9" t="s">
        <v>50</v>
      </c>
      <c r="F31" s="9" t="s">
        <v>63</v>
      </c>
      <c r="G31" s="11" t="n">
        <v>46038</v>
      </c>
      <c r="H31" s="11" t="n">
        <v>46403</v>
      </c>
      <c r="I31" s="12" t="n">
        <f aca="true">IF(H31="","",H31-TODAY())</f>
        <v>96</v>
      </c>
      <c r="J31" s="10" t="s">
        <v>141</v>
      </c>
      <c r="K31" s="13" t="s">
        <v>53</v>
      </c>
      <c r="L31" s="14"/>
      <c r="M31" s="15"/>
      <c r="N31" s="16"/>
      <c r="O31" s="15"/>
      <c r="P31" s="16"/>
      <c r="Q31" s="15"/>
      <c r="R31" s="14"/>
    </row>
    <row r="32" customFormat="false" ht="35.05" hidden="false" customHeight="false" outlineLevel="0" collapsed="false">
      <c r="A32" s="9" t="s">
        <v>124</v>
      </c>
      <c r="B32" s="9" t="n">
        <v>524</v>
      </c>
      <c r="C32" s="10" t="s">
        <v>142</v>
      </c>
      <c r="D32" s="10" t="s">
        <v>143</v>
      </c>
      <c r="E32" s="9" t="s">
        <v>50</v>
      </c>
      <c r="F32" s="9" t="s">
        <v>63</v>
      </c>
      <c r="G32" s="11" t="n">
        <v>46041</v>
      </c>
      <c r="H32" s="11" t="n">
        <v>46406</v>
      </c>
      <c r="I32" s="12" t="n">
        <f aca="true">IF(H32="","",H32-TODAY())</f>
        <v>99</v>
      </c>
      <c r="J32" s="10" t="s">
        <v>144</v>
      </c>
      <c r="K32" s="13" t="s">
        <v>53</v>
      </c>
      <c r="L32" s="14"/>
      <c r="M32" s="15"/>
      <c r="N32" s="16"/>
      <c r="O32" s="15"/>
      <c r="P32" s="16"/>
      <c r="Q32" s="15"/>
      <c r="R32" s="14"/>
    </row>
    <row r="33" customFormat="false" ht="23.85" hidden="false" customHeight="false" outlineLevel="0" collapsed="false">
      <c r="A33" s="9" t="s">
        <v>124</v>
      </c>
      <c r="B33" s="9" t="n">
        <v>209</v>
      </c>
      <c r="C33" s="10" t="s">
        <v>145</v>
      </c>
      <c r="D33" s="10" t="s">
        <v>146</v>
      </c>
      <c r="E33" s="9" t="s">
        <v>50</v>
      </c>
      <c r="F33" s="9" t="s">
        <v>51</v>
      </c>
      <c r="G33" s="11" t="n">
        <v>46044</v>
      </c>
      <c r="H33" s="11" t="n">
        <v>46409</v>
      </c>
      <c r="I33" s="12" t="n">
        <f aca="true">IF(H33="","",H33-TODAY())</f>
        <v>102</v>
      </c>
      <c r="J33" s="10" t="s">
        <v>147</v>
      </c>
      <c r="K33" s="13" t="s">
        <v>53</v>
      </c>
      <c r="L33" s="14"/>
      <c r="M33" s="15"/>
      <c r="N33" s="16"/>
      <c r="O33" s="15"/>
      <c r="P33" s="16"/>
      <c r="Q33" s="15"/>
      <c r="R33" s="14"/>
    </row>
    <row r="34" customFormat="false" ht="23.85" hidden="false" customHeight="false" outlineLevel="0" collapsed="false">
      <c r="A34" s="9" t="s">
        <v>124</v>
      </c>
      <c r="B34" s="9" t="n">
        <v>195</v>
      </c>
      <c r="C34" s="10" t="s">
        <v>148</v>
      </c>
      <c r="D34" s="10" t="s">
        <v>149</v>
      </c>
      <c r="E34" s="9" t="s">
        <v>50</v>
      </c>
      <c r="F34" s="9" t="s">
        <v>51</v>
      </c>
      <c r="G34" s="11" t="n">
        <v>46047</v>
      </c>
      <c r="H34" s="11" t="n">
        <v>46412</v>
      </c>
      <c r="I34" s="12" t="n">
        <f aca="true">IF(H34="","",H34-TODAY())</f>
        <v>105</v>
      </c>
      <c r="J34" s="10" t="s">
        <v>150</v>
      </c>
      <c r="K34" s="13" t="s">
        <v>53</v>
      </c>
      <c r="L34" s="14"/>
      <c r="M34" s="15"/>
      <c r="N34" s="16"/>
      <c r="O34" s="15"/>
      <c r="P34" s="16"/>
      <c r="Q34" s="15"/>
      <c r="R34" s="14"/>
    </row>
    <row r="35" customFormat="false" ht="35.05" hidden="false" customHeight="false" outlineLevel="0" collapsed="false">
      <c r="A35" s="9" t="s">
        <v>124</v>
      </c>
      <c r="B35" s="9" t="n">
        <v>176</v>
      </c>
      <c r="C35" s="10" t="s">
        <v>151</v>
      </c>
      <c r="D35" s="10" t="s">
        <v>152</v>
      </c>
      <c r="E35" s="9" t="s">
        <v>50</v>
      </c>
      <c r="F35" s="9" t="s">
        <v>63</v>
      </c>
      <c r="G35" s="11" t="n">
        <v>46047</v>
      </c>
      <c r="H35" s="11" t="n">
        <v>46412</v>
      </c>
      <c r="I35" s="12" t="n">
        <f aca="true">IF(H35="","",H35-TODAY())</f>
        <v>105</v>
      </c>
      <c r="J35" s="10" t="s">
        <v>153</v>
      </c>
      <c r="K35" s="13" t="s">
        <v>53</v>
      </c>
      <c r="L35" s="14"/>
      <c r="M35" s="15"/>
      <c r="N35" s="16"/>
      <c r="O35" s="15"/>
      <c r="P35" s="16"/>
      <c r="Q35" s="15"/>
      <c r="R35" s="14"/>
    </row>
    <row r="36" customFormat="false" ht="35.05" hidden="false" customHeight="false" outlineLevel="0" collapsed="false">
      <c r="A36" s="9" t="s">
        <v>124</v>
      </c>
      <c r="B36" s="9" t="n">
        <v>903</v>
      </c>
      <c r="C36" s="10" t="s">
        <v>154</v>
      </c>
      <c r="D36" s="10" t="s">
        <v>155</v>
      </c>
      <c r="E36" s="9" t="s">
        <v>59</v>
      </c>
      <c r="F36" s="9" t="s">
        <v>51</v>
      </c>
      <c r="G36" s="11" t="n">
        <v>46047</v>
      </c>
      <c r="H36" s="11" t="n">
        <v>46412</v>
      </c>
      <c r="I36" s="12" t="n">
        <f aca="true">IF(H36="","",H36-TODAY())</f>
        <v>105</v>
      </c>
      <c r="J36" s="10" t="s">
        <v>156</v>
      </c>
      <c r="K36" s="13" t="s">
        <v>53</v>
      </c>
      <c r="L36" s="14"/>
      <c r="M36" s="15"/>
      <c r="N36" s="16"/>
      <c r="O36" s="15"/>
      <c r="P36" s="16"/>
      <c r="Q36" s="15"/>
      <c r="R36" s="14"/>
    </row>
    <row r="37" customFormat="false" ht="23.85" hidden="false" customHeight="false" outlineLevel="0" collapsed="false">
      <c r="A37" s="9" t="s">
        <v>124</v>
      </c>
      <c r="B37" s="9" t="n">
        <v>242</v>
      </c>
      <c r="C37" s="10" t="s">
        <v>157</v>
      </c>
      <c r="D37" s="10" t="s">
        <v>158</v>
      </c>
      <c r="E37" s="9" t="s">
        <v>59</v>
      </c>
      <c r="F37" s="9" t="s">
        <v>51</v>
      </c>
      <c r="G37" s="11" t="n">
        <v>46048</v>
      </c>
      <c r="H37" s="11" t="n">
        <v>46413</v>
      </c>
      <c r="I37" s="12" t="n">
        <f aca="true">IF(H37="","",H37-TODAY())</f>
        <v>106</v>
      </c>
      <c r="J37" s="10" t="s">
        <v>159</v>
      </c>
      <c r="K37" s="13" t="s">
        <v>53</v>
      </c>
      <c r="L37" s="14"/>
      <c r="M37" s="15"/>
      <c r="N37" s="16"/>
      <c r="O37" s="15"/>
      <c r="P37" s="16"/>
      <c r="Q37" s="15"/>
      <c r="R37" s="14"/>
    </row>
    <row r="38" customFormat="false" ht="23.85" hidden="false" customHeight="false" outlineLevel="0" collapsed="false">
      <c r="A38" s="9" t="s">
        <v>124</v>
      </c>
      <c r="B38" s="9" t="n">
        <v>721</v>
      </c>
      <c r="C38" s="10" t="s">
        <v>160</v>
      </c>
      <c r="D38" s="10" t="s">
        <v>161</v>
      </c>
      <c r="E38" s="9" t="s">
        <v>59</v>
      </c>
      <c r="F38" s="9" t="s">
        <v>63</v>
      </c>
      <c r="G38" s="11" t="n">
        <v>46051</v>
      </c>
      <c r="H38" s="11" t="n">
        <v>46416</v>
      </c>
      <c r="I38" s="12" t="n">
        <f aca="true">IF(H38="","",H38-TODAY())</f>
        <v>109</v>
      </c>
      <c r="J38" s="10" t="s">
        <v>162</v>
      </c>
      <c r="K38" s="13" t="s">
        <v>53</v>
      </c>
      <c r="L38" s="14"/>
      <c r="M38" s="15"/>
      <c r="N38" s="16"/>
      <c r="O38" s="15"/>
      <c r="P38" s="16"/>
      <c r="Q38" s="15"/>
      <c r="R38" s="14"/>
    </row>
    <row r="39" customFormat="false" ht="23.85" hidden="false" customHeight="false" outlineLevel="0" collapsed="false">
      <c r="A39" s="9" t="s">
        <v>124</v>
      </c>
      <c r="B39" s="9" t="n">
        <v>686</v>
      </c>
      <c r="C39" s="10" t="s">
        <v>163</v>
      </c>
      <c r="D39" s="10" t="s">
        <v>164</v>
      </c>
      <c r="E39" s="9" t="s">
        <v>50</v>
      </c>
      <c r="F39" s="9" t="s">
        <v>63</v>
      </c>
      <c r="G39" s="11" t="n">
        <v>46051</v>
      </c>
      <c r="H39" s="11" t="n">
        <v>46416</v>
      </c>
      <c r="I39" s="12" t="n">
        <f aca="true">IF(H39="","",H39-TODAY())</f>
        <v>109</v>
      </c>
      <c r="J39" s="10"/>
      <c r="K39" s="13" t="s">
        <v>53</v>
      </c>
      <c r="L39" s="14"/>
      <c r="M39" s="15"/>
      <c r="N39" s="16"/>
      <c r="O39" s="15"/>
      <c r="P39" s="16"/>
      <c r="Q39" s="15"/>
      <c r="R39" s="14"/>
    </row>
    <row r="40" customFormat="false" ht="35.05" hidden="false" customHeight="false" outlineLevel="0" collapsed="false">
      <c r="A40" s="9" t="s">
        <v>124</v>
      </c>
      <c r="B40" s="9" t="n">
        <v>895</v>
      </c>
      <c r="C40" s="10" t="s">
        <v>165</v>
      </c>
      <c r="D40" s="10" t="s">
        <v>166</v>
      </c>
      <c r="E40" s="9" t="s">
        <v>50</v>
      </c>
      <c r="F40" s="9" t="s">
        <v>63</v>
      </c>
      <c r="G40" s="11" t="n">
        <v>46052</v>
      </c>
      <c r="H40" s="11" t="n">
        <v>46417</v>
      </c>
      <c r="I40" s="12" t="n">
        <f aca="true">IF(H40="","",H40-TODAY())</f>
        <v>110</v>
      </c>
      <c r="J40" s="10"/>
      <c r="K40" s="13" t="s">
        <v>53</v>
      </c>
      <c r="L40" s="14"/>
      <c r="M40" s="15"/>
      <c r="N40" s="16"/>
      <c r="O40" s="15"/>
      <c r="P40" s="16"/>
      <c r="Q40" s="15"/>
      <c r="R40" s="14"/>
    </row>
    <row r="41" customFormat="false" ht="23.85" hidden="false" customHeight="false" outlineLevel="0" collapsed="false">
      <c r="A41" s="9" t="s">
        <v>124</v>
      </c>
      <c r="B41" s="9" t="n">
        <v>1110</v>
      </c>
      <c r="C41" s="10" t="s">
        <v>167</v>
      </c>
      <c r="D41" s="10" t="s">
        <v>168</v>
      </c>
      <c r="E41" s="9" t="s">
        <v>50</v>
      </c>
      <c r="F41" s="9" t="s">
        <v>63</v>
      </c>
      <c r="G41" s="11" t="n">
        <v>46053</v>
      </c>
      <c r="H41" s="11" t="n">
        <v>46418</v>
      </c>
      <c r="I41" s="12" t="n">
        <f aca="true">IF(H41="","",H41-TODAY())</f>
        <v>111</v>
      </c>
      <c r="J41" s="10" t="s">
        <v>169</v>
      </c>
      <c r="K41" s="13" t="s">
        <v>53</v>
      </c>
      <c r="L41" s="14"/>
      <c r="M41" s="15"/>
      <c r="N41" s="16"/>
      <c r="O41" s="15"/>
      <c r="P41" s="16"/>
      <c r="Q41" s="15"/>
      <c r="R41" s="14"/>
    </row>
    <row r="42" customFormat="false" ht="23.85" hidden="false" customHeight="false" outlineLevel="0" collapsed="false">
      <c r="A42" s="9" t="s">
        <v>124</v>
      </c>
      <c r="B42" s="9" t="n">
        <v>708</v>
      </c>
      <c r="C42" s="10" t="s">
        <v>170</v>
      </c>
      <c r="D42" s="10" t="s">
        <v>171</v>
      </c>
      <c r="E42" s="9" t="s">
        <v>59</v>
      </c>
      <c r="F42" s="9" t="s">
        <v>63</v>
      </c>
      <c r="G42" s="11" t="n">
        <v>46054</v>
      </c>
      <c r="H42" s="11" t="n">
        <v>46419</v>
      </c>
      <c r="I42" s="12" t="n">
        <f aca="true">IF(H42="","",H42-TODAY())</f>
        <v>112</v>
      </c>
      <c r="J42" s="10" t="s">
        <v>172</v>
      </c>
      <c r="K42" s="13" t="s">
        <v>53</v>
      </c>
      <c r="L42" s="14"/>
      <c r="M42" s="15"/>
      <c r="N42" s="16"/>
      <c r="O42" s="15"/>
      <c r="P42" s="16"/>
      <c r="Q42" s="15"/>
      <c r="R42" s="14"/>
    </row>
    <row r="43" customFormat="false" ht="23.85" hidden="false" customHeight="false" outlineLevel="0" collapsed="false">
      <c r="A43" s="9" t="s">
        <v>124</v>
      </c>
      <c r="B43" s="9" t="n">
        <v>1050</v>
      </c>
      <c r="C43" s="10" t="s">
        <v>173</v>
      </c>
      <c r="D43" s="10" t="s">
        <v>174</v>
      </c>
      <c r="E43" s="9" t="s">
        <v>59</v>
      </c>
      <c r="F43" s="9" t="s">
        <v>63</v>
      </c>
      <c r="G43" s="11" t="n">
        <v>46054</v>
      </c>
      <c r="H43" s="11" t="n">
        <v>46419</v>
      </c>
      <c r="I43" s="12" t="n">
        <f aca="true">IF(H43="","",H43-TODAY())</f>
        <v>112</v>
      </c>
      <c r="J43" s="10" t="s">
        <v>175</v>
      </c>
      <c r="K43" s="13" t="s">
        <v>53</v>
      </c>
      <c r="L43" s="14"/>
      <c r="M43" s="15"/>
      <c r="N43" s="16"/>
      <c r="O43" s="15"/>
      <c r="P43" s="16"/>
      <c r="Q43" s="15"/>
      <c r="R43" s="14"/>
    </row>
    <row r="44" customFormat="false" ht="23.85" hidden="false" customHeight="false" outlineLevel="0" collapsed="false">
      <c r="A44" s="9" t="s">
        <v>124</v>
      </c>
      <c r="B44" s="9" t="n">
        <v>794</v>
      </c>
      <c r="C44" s="10" t="s">
        <v>176</v>
      </c>
      <c r="D44" s="10" t="s">
        <v>177</v>
      </c>
      <c r="E44" s="9" t="s">
        <v>59</v>
      </c>
      <c r="F44" s="9" t="s">
        <v>63</v>
      </c>
      <c r="G44" s="11" t="n">
        <v>46054</v>
      </c>
      <c r="H44" s="11" t="n">
        <v>46419</v>
      </c>
      <c r="I44" s="12" t="n">
        <f aca="true">IF(H44="","",H44-TODAY())</f>
        <v>112</v>
      </c>
      <c r="J44" s="10" t="s">
        <v>178</v>
      </c>
      <c r="K44" s="13" t="s">
        <v>53</v>
      </c>
      <c r="L44" s="14"/>
      <c r="M44" s="15"/>
      <c r="N44" s="16"/>
      <c r="O44" s="15"/>
      <c r="P44" s="16"/>
      <c r="Q44" s="15"/>
      <c r="R44" s="14"/>
    </row>
    <row r="45" customFormat="false" ht="23.85" hidden="false" customHeight="false" outlineLevel="0" collapsed="false">
      <c r="A45" s="9" t="s">
        <v>124</v>
      </c>
      <c r="B45" s="9" t="n">
        <v>1049</v>
      </c>
      <c r="C45" s="10" t="s">
        <v>179</v>
      </c>
      <c r="D45" s="10" t="s">
        <v>174</v>
      </c>
      <c r="E45" s="9" t="s">
        <v>59</v>
      </c>
      <c r="F45" s="9" t="s">
        <v>63</v>
      </c>
      <c r="G45" s="11" t="n">
        <v>46054</v>
      </c>
      <c r="H45" s="11" t="n">
        <v>46419</v>
      </c>
      <c r="I45" s="12" t="n">
        <f aca="true">IF(H45="","",H45-TODAY())</f>
        <v>112</v>
      </c>
      <c r="J45" s="10" t="s">
        <v>180</v>
      </c>
      <c r="K45" s="13" t="s">
        <v>53</v>
      </c>
      <c r="L45" s="14"/>
      <c r="M45" s="15"/>
      <c r="N45" s="16"/>
      <c r="O45" s="15"/>
      <c r="P45" s="16"/>
      <c r="Q45" s="15"/>
      <c r="R45" s="14"/>
    </row>
    <row r="46" customFormat="false" ht="23.85" hidden="false" customHeight="false" outlineLevel="0" collapsed="false">
      <c r="A46" s="9" t="s">
        <v>124</v>
      </c>
      <c r="B46" s="9" t="n">
        <v>1051</v>
      </c>
      <c r="C46" s="10" t="s">
        <v>181</v>
      </c>
      <c r="D46" s="10" t="s">
        <v>174</v>
      </c>
      <c r="E46" s="9" t="s">
        <v>59</v>
      </c>
      <c r="F46" s="9" t="s">
        <v>63</v>
      </c>
      <c r="G46" s="11" t="n">
        <v>46054</v>
      </c>
      <c r="H46" s="11" t="n">
        <v>46419</v>
      </c>
      <c r="I46" s="12" t="n">
        <f aca="true">IF(H46="","",H46-TODAY())</f>
        <v>112</v>
      </c>
      <c r="J46" s="10" t="s">
        <v>180</v>
      </c>
      <c r="K46" s="13" t="s">
        <v>53</v>
      </c>
      <c r="L46" s="14"/>
      <c r="M46" s="15"/>
      <c r="N46" s="16"/>
      <c r="O46" s="15"/>
      <c r="P46" s="16"/>
      <c r="Q46" s="15"/>
      <c r="R46" s="14"/>
    </row>
    <row r="47" customFormat="false" ht="23.85" hidden="false" customHeight="false" outlineLevel="0" collapsed="false">
      <c r="A47" s="9" t="s">
        <v>124</v>
      </c>
      <c r="B47" s="9" t="n">
        <v>468</v>
      </c>
      <c r="C47" s="10" t="s">
        <v>182</v>
      </c>
      <c r="D47" s="10" t="s">
        <v>183</v>
      </c>
      <c r="E47" s="9" t="s">
        <v>59</v>
      </c>
      <c r="F47" s="9" t="s">
        <v>98</v>
      </c>
      <c r="G47" s="11" t="n">
        <v>46055</v>
      </c>
      <c r="H47" s="11" t="n">
        <v>46420</v>
      </c>
      <c r="I47" s="12" t="n">
        <f aca="true">IF(H47="","",H47-TODAY())</f>
        <v>113</v>
      </c>
      <c r="J47" s="10" t="s">
        <v>184</v>
      </c>
      <c r="K47" s="13" t="s">
        <v>53</v>
      </c>
      <c r="L47" s="14"/>
      <c r="M47" s="15"/>
      <c r="N47" s="16"/>
      <c r="O47" s="15"/>
      <c r="P47" s="16"/>
      <c r="Q47" s="15"/>
      <c r="R47" s="14"/>
    </row>
    <row r="48" customFormat="false" ht="15" hidden="false" customHeight="false" outlineLevel="0" collapsed="false">
      <c r="A48" s="9" t="s">
        <v>124</v>
      </c>
      <c r="B48" s="9" t="n">
        <v>1019</v>
      </c>
      <c r="C48" s="10" t="s">
        <v>185</v>
      </c>
      <c r="D48" s="10" t="s">
        <v>186</v>
      </c>
      <c r="E48" s="9" t="s">
        <v>59</v>
      </c>
      <c r="F48" s="9" t="s">
        <v>63</v>
      </c>
      <c r="G48" s="11" t="n">
        <v>46066</v>
      </c>
      <c r="H48" s="11" t="n">
        <v>46431</v>
      </c>
      <c r="I48" s="12" t="n">
        <f aca="true">IF(H48="","",H48-TODAY())</f>
        <v>124</v>
      </c>
      <c r="J48" s="10" t="s">
        <v>187</v>
      </c>
      <c r="K48" s="13" t="s">
        <v>53</v>
      </c>
      <c r="L48" s="14"/>
      <c r="M48" s="15"/>
      <c r="N48" s="16"/>
      <c r="O48" s="15"/>
      <c r="P48" s="16"/>
      <c r="Q48" s="15"/>
      <c r="R48" s="14"/>
    </row>
    <row r="49" customFormat="false" ht="15" hidden="false" customHeight="false" outlineLevel="0" collapsed="false">
      <c r="A49" s="9" t="s">
        <v>124</v>
      </c>
      <c r="B49" s="9" t="n">
        <v>772</v>
      </c>
      <c r="C49" s="10" t="s">
        <v>188</v>
      </c>
      <c r="D49" s="10" t="s">
        <v>186</v>
      </c>
      <c r="E49" s="9" t="s">
        <v>59</v>
      </c>
      <c r="F49" s="9" t="s">
        <v>63</v>
      </c>
      <c r="G49" s="11" t="n">
        <v>46066</v>
      </c>
      <c r="H49" s="11" t="n">
        <v>46431</v>
      </c>
      <c r="I49" s="12" t="n">
        <f aca="true">IF(H49="","",H49-TODAY())</f>
        <v>124</v>
      </c>
      <c r="J49" s="10" t="s">
        <v>189</v>
      </c>
      <c r="K49" s="13" t="s">
        <v>53</v>
      </c>
      <c r="L49" s="14"/>
      <c r="M49" s="15"/>
      <c r="N49" s="16"/>
      <c r="O49" s="15"/>
      <c r="P49" s="16"/>
      <c r="Q49" s="15"/>
      <c r="R49" s="14"/>
    </row>
    <row r="50" customFormat="false" ht="23.85" hidden="false" customHeight="false" outlineLevel="0" collapsed="false">
      <c r="A50" s="9" t="s">
        <v>124</v>
      </c>
      <c r="B50" s="9" t="n">
        <v>769</v>
      </c>
      <c r="C50" s="10" t="s">
        <v>190</v>
      </c>
      <c r="D50" s="10" t="s">
        <v>191</v>
      </c>
      <c r="E50" s="9" t="s">
        <v>50</v>
      </c>
      <c r="F50" s="9" t="s">
        <v>63</v>
      </c>
      <c r="G50" s="11" t="n">
        <v>46066</v>
      </c>
      <c r="H50" s="11" t="n">
        <v>46431</v>
      </c>
      <c r="I50" s="12" t="n">
        <f aca="true">IF(H50="","",H50-TODAY())</f>
        <v>124</v>
      </c>
      <c r="J50" s="10"/>
      <c r="K50" s="13" t="s">
        <v>53</v>
      </c>
      <c r="L50" s="14"/>
      <c r="M50" s="15"/>
      <c r="N50" s="16"/>
      <c r="O50" s="15"/>
      <c r="P50" s="16"/>
      <c r="Q50" s="15"/>
      <c r="R50" s="14"/>
    </row>
    <row r="51" customFormat="false" ht="15" hidden="false" customHeight="false" outlineLevel="0" collapsed="false">
      <c r="A51" s="9" t="s">
        <v>124</v>
      </c>
      <c r="B51" s="9" t="n">
        <v>763</v>
      </c>
      <c r="C51" s="10" t="s">
        <v>192</v>
      </c>
      <c r="D51" s="10" t="s">
        <v>186</v>
      </c>
      <c r="E51" s="9" t="s">
        <v>59</v>
      </c>
      <c r="F51" s="9" t="s">
        <v>63</v>
      </c>
      <c r="G51" s="11" t="n">
        <v>46066</v>
      </c>
      <c r="H51" s="11" t="n">
        <v>46431</v>
      </c>
      <c r="I51" s="12" t="n">
        <f aca="true">IF(H51="","",H51-TODAY())</f>
        <v>124</v>
      </c>
      <c r="J51" s="10" t="s">
        <v>193</v>
      </c>
      <c r="K51" s="13" t="s">
        <v>53</v>
      </c>
      <c r="L51" s="14"/>
      <c r="M51" s="15"/>
      <c r="N51" s="16"/>
      <c r="O51" s="15"/>
      <c r="P51" s="16"/>
      <c r="Q51" s="15"/>
      <c r="R51" s="14"/>
    </row>
    <row r="52" customFormat="false" ht="23.85" hidden="false" customHeight="false" outlineLevel="0" collapsed="false">
      <c r="A52" s="9" t="s">
        <v>124</v>
      </c>
      <c r="B52" s="9" t="n">
        <v>762</v>
      </c>
      <c r="C52" s="10" t="s">
        <v>194</v>
      </c>
      <c r="D52" s="10" t="s">
        <v>186</v>
      </c>
      <c r="E52" s="9" t="s">
        <v>59</v>
      </c>
      <c r="F52" s="9" t="s">
        <v>63</v>
      </c>
      <c r="G52" s="11" t="n">
        <v>46066</v>
      </c>
      <c r="H52" s="11" t="n">
        <v>46431</v>
      </c>
      <c r="I52" s="12" t="n">
        <f aca="true">IF(H52="","",H52-TODAY())</f>
        <v>124</v>
      </c>
      <c r="J52" s="10" t="s">
        <v>195</v>
      </c>
      <c r="K52" s="13" t="s">
        <v>53</v>
      </c>
      <c r="L52" s="14"/>
      <c r="M52" s="15"/>
      <c r="N52" s="16"/>
      <c r="O52" s="15"/>
      <c r="P52" s="16"/>
      <c r="Q52" s="15"/>
      <c r="R52" s="14"/>
    </row>
    <row r="53" customFormat="false" ht="15" hidden="false" customHeight="false" outlineLevel="0" collapsed="false">
      <c r="A53" s="9" t="s">
        <v>124</v>
      </c>
      <c r="B53" s="9" t="n">
        <v>774</v>
      </c>
      <c r="C53" s="10" t="s">
        <v>196</v>
      </c>
      <c r="D53" s="10" t="s">
        <v>186</v>
      </c>
      <c r="E53" s="9" t="s">
        <v>59</v>
      </c>
      <c r="F53" s="9" t="s">
        <v>63</v>
      </c>
      <c r="G53" s="11" t="n">
        <v>46066</v>
      </c>
      <c r="H53" s="11" t="n">
        <v>46431</v>
      </c>
      <c r="I53" s="12" t="n">
        <f aca="true">IF(H53="","",H53-TODAY())</f>
        <v>124</v>
      </c>
      <c r="J53" s="10" t="s">
        <v>197</v>
      </c>
      <c r="K53" s="13" t="s">
        <v>53</v>
      </c>
      <c r="L53" s="14"/>
      <c r="M53" s="15"/>
      <c r="N53" s="16"/>
      <c r="O53" s="15"/>
      <c r="P53" s="16"/>
      <c r="Q53" s="15"/>
      <c r="R53" s="14"/>
    </row>
    <row r="54" customFormat="false" ht="23.85" hidden="false" customHeight="false" outlineLevel="0" collapsed="false">
      <c r="A54" s="9" t="s">
        <v>124</v>
      </c>
      <c r="B54" s="9" t="n">
        <v>782</v>
      </c>
      <c r="C54" s="10" t="s">
        <v>198</v>
      </c>
      <c r="D54" s="10" t="s">
        <v>191</v>
      </c>
      <c r="E54" s="9" t="s">
        <v>50</v>
      </c>
      <c r="F54" s="9" t="s">
        <v>63</v>
      </c>
      <c r="G54" s="11" t="n">
        <v>46066</v>
      </c>
      <c r="H54" s="11" t="n">
        <v>46431</v>
      </c>
      <c r="I54" s="12" t="n">
        <f aca="true">IF(H54="","",H54-TODAY())</f>
        <v>124</v>
      </c>
      <c r="J54" s="10"/>
      <c r="K54" s="13" t="s">
        <v>53</v>
      </c>
      <c r="L54" s="14"/>
      <c r="M54" s="15"/>
      <c r="N54" s="16"/>
      <c r="O54" s="15"/>
      <c r="P54" s="16"/>
      <c r="Q54" s="15"/>
      <c r="R54" s="14"/>
    </row>
    <row r="55" customFormat="false" ht="15" hidden="false" customHeight="false" outlineLevel="0" collapsed="false">
      <c r="A55" s="9" t="s">
        <v>124</v>
      </c>
      <c r="B55" s="9" t="n">
        <v>778</v>
      </c>
      <c r="C55" s="10" t="s">
        <v>199</v>
      </c>
      <c r="D55" s="10" t="s">
        <v>186</v>
      </c>
      <c r="E55" s="9" t="s">
        <v>59</v>
      </c>
      <c r="F55" s="9" t="s">
        <v>63</v>
      </c>
      <c r="G55" s="11" t="n">
        <v>46066</v>
      </c>
      <c r="H55" s="11" t="n">
        <v>46431</v>
      </c>
      <c r="I55" s="12" t="n">
        <f aca="true">IF(H55="","",H55-TODAY())</f>
        <v>124</v>
      </c>
      <c r="J55" s="10" t="s">
        <v>200</v>
      </c>
      <c r="K55" s="13" t="s">
        <v>53</v>
      </c>
      <c r="L55" s="14"/>
      <c r="M55" s="15"/>
      <c r="N55" s="16"/>
      <c r="O55" s="15"/>
      <c r="P55" s="16"/>
      <c r="Q55" s="15"/>
      <c r="R55" s="14"/>
    </row>
    <row r="56" customFormat="false" ht="15" hidden="false" customHeight="false" outlineLevel="0" collapsed="false">
      <c r="A56" s="9" t="s">
        <v>124</v>
      </c>
      <c r="B56" s="9" t="n">
        <v>775</v>
      </c>
      <c r="C56" s="10" t="s">
        <v>201</v>
      </c>
      <c r="D56" s="10" t="s">
        <v>186</v>
      </c>
      <c r="E56" s="9" t="s">
        <v>59</v>
      </c>
      <c r="F56" s="9" t="s">
        <v>63</v>
      </c>
      <c r="G56" s="11" t="n">
        <v>46066</v>
      </c>
      <c r="H56" s="11" t="n">
        <v>46431</v>
      </c>
      <c r="I56" s="12" t="n">
        <f aca="true">IF(H56="","",H56-TODAY())</f>
        <v>124</v>
      </c>
      <c r="J56" s="10" t="s">
        <v>202</v>
      </c>
      <c r="K56" s="13" t="s">
        <v>53</v>
      </c>
      <c r="L56" s="14"/>
      <c r="M56" s="15"/>
      <c r="N56" s="16"/>
      <c r="O56" s="15"/>
      <c r="P56" s="16"/>
      <c r="Q56" s="15"/>
      <c r="R56" s="14"/>
    </row>
    <row r="57" customFormat="false" ht="35.05" hidden="false" customHeight="false" outlineLevel="0" collapsed="false">
      <c r="A57" s="9" t="s">
        <v>124</v>
      </c>
      <c r="B57" s="9" t="n">
        <v>920</v>
      </c>
      <c r="C57" s="10" t="s">
        <v>203</v>
      </c>
      <c r="D57" s="10" t="s">
        <v>204</v>
      </c>
      <c r="E57" s="9" t="s">
        <v>59</v>
      </c>
      <c r="F57" s="9" t="s">
        <v>98</v>
      </c>
      <c r="G57" s="11" t="n">
        <v>46068</v>
      </c>
      <c r="H57" s="11" t="n">
        <v>46433</v>
      </c>
      <c r="I57" s="12" t="n">
        <f aca="true">IF(H57="","",H57-TODAY())</f>
        <v>126</v>
      </c>
      <c r="J57" s="10" t="s">
        <v>205</v>
      </c>
      <c r="K57" s="13" t="s">
        <v>53</v>
      </c>
      <c r="L57" s="14"/>
      <c r="M57" s="15"/>
      <c r="N57" s="16"/>
      <c r="O57" s="15"/>
      <c r="P57" s="16"/>
      <c r="Q57" s="15"/>
      <c r="R57" s="14"/>
    </row>
    <row r="58" customFormat="false" ht="23.85" hidden="false" customHeight="false" outlineLevel="0" collapsed="false">
      <c r="A58" s="9" t="s">
        <v>124</v>
      </c>
      <c r="B58" s="9" t="n">
        <v>62</v>
      </c>
      <c r="C58" s="10" t="s">
        <v>206</v>
      </c>
      <c r="D58" s="10" t="s">
        <v>207</v>
      </c>
      <c r="E58" s="9" t="s">
        <v>50</v>
      </c>
      <c r="F58" s="9" t="s">
        <v>63</v>
      </c>
      <c r="G58" s="11" t="n">
        <v>46068</v>
      </c>
      <c r="H58" s="11" t="n">
        <v>46433</v>
      </c>
      <c r="I58" s="12" t="n">
        <f aca="true">IF(H58="","",H58-TODAY())</f>
        <v>126</v>
      </c>
      <c r="J58" s="10" t="s">
        <v>208</v>
      </c>
      <c r="K58" s="13" t="s">
        <v>53</v>
      </c>
      <c r="L58" s="14"/>
      <c r="M58" s="15"/>
      <c r="N58" s="16"/>
      <c r="O58" s="15"/>
      <c r="P58" s="16"/>
      <c r="Q58" s="15"/>
      <c r="R58" s="14"/>
    </row>
    <row r="59" customFormat="false" ht="23.85" hidden="false" customHeight="false" outlineLevel="0" collapsed="false">
      <c r="A59" s="9" t="s">
        <v>124</v>
      </c>
      <c r="B59" s="9" t="n">
        <v>412</v>
      </c>
      <c r="C59" s="10" t="s">
        <v>209</v>
      </c>
      <c r="D59" s="10" t="s">
        <v>210</v>
      </c>
      <c r="E59" s="9" t="s">
        <v>59</v>
      </c>
      <c r="F59" s="9" t="s">
        <v>63</v>
      </c>
      <c r="G59" s="11" t="n">
        <v>46068</v>
      </c>
      <c r="H59" s="11" t="n">
        <v>46433</v>
      </c>
      <c r="I59" s="12" t="n">
        <f aca="true">IF(H59="","",H59-TODAY())</f>
        <v>126</v>
      </c>
      <c r="J59" s="10" t="s">
        <v>211</v>
      </c>
      <c r="K59" s="13" t="s">
        <v>53</v>
      </c>
      <c r="L59" s="14"/>
      <c r="M59" s="15"/>
      <c r="N59" s="16"/>
      <c r="O59" s="15"/>
      <c r="P59" s="16"/>
      <c r="Q59" s="15"/>
      <c r="R59" s="14"/>
    </row>
    <row r="60" customFormat="false" ht="57.45" hidden="false" customHeight="false" outlineLevel="0" collapsed="false">
      <c r="A60" s="9" t="s">
        <v>124</v>
      </c>
      <c r="B60" s="9" t="n">
        <v>274</v>
      </c>
      <c r="C60" s="10" t="s">
        <v>212</v>
      </c>
      <c r="D60" s="10" t="s">
        <v>213</v>
      </c>
      <c r="E60" s="9" t="s">
        <v>50</v>
      </c>
      <c r="F60" s="9" t="s">
        <v>63</v>
      </c>
      <c r="G60" s="11" t="n">
        <v>46069</v>
      </c>
      <c r="H60" s="11" t="n">
        <v>46434</v>
      </c>
      <c r="I60" s="12" t="n">
        <f aca="true">IF(H60="","",H60-TODAY())</f>
        <v>127</v>
      </c>
      <c r="J60" s="10" t="s">
        <v>214</v>
      </c>
      <c r="K60" s="13" t="s">
        <v>53</v>
      </c>
      <c r="L60" s="14"/>
      <c r="M60" s="15"/>
      <c r="N60" s="16"/>
      <c r="O60" s="15"/>
      <c r="P60" s="16"/>
      <c r="Q60" s="15"/>
      <c r="R60" s="14"/>
    </row>
    <row r="61" customFormat="false" ht="35.05" hidden="false" customHeight="false" outlineLevel="0" collapsed="false">
      <c r="A61" s="9" t="s">
        <v>124</v>
      </c>
      <c r="B61" s="9" t="n">
        <v>249</v>
      </c>
      <c r="C61" s="10" t="s">
        <v>215</v>
      </c>
      <c r="D61" s="10" t="s">
        <v>216</v>
      </c>
      <c r="E61" s="9" t="s">
        <v>50</v>
      </c>
      <c r="F61" s="9" t="s">
        <v>63</v>
      </c>
      <c r="G61" s="11" t="n">
        <v>46071</v>
      </c>
      <c r="H61" s="11" t="n">
        <v>46436</v>
      </c>
      <c r="I61" s="12" t="n">
        <f aca="true">IF(H61="","",H61-TODAY())</f>
        <v>129</v>
      </c>
      <c r="J61" s="10" t="s">
        <v>217</v>
      </c>
      <c r="K61" s="13" t="s">
        <v>53</v>
      </c>
      <c r="L61" s="14"/>
      <c r="M61" s="15"/>
      <c r="N61" s="16"/>
      <c r="O61" s="15"/>
      <c r="P61" s="16"/>
      <c r="Q61" s="15"/>
      <c r="R61" s="14"/>
    </row>
    <row r="62" customFormat="false" ht="23.85" hidden="false" customHeight="false" outlineLevel="0" collapsed="false">
      <c r="A62" s="9" t="s">
        <v>124</v>
      </c>
      <c r="B62" s="9" t="n">
        <v>1063</v>
      </c>
      <c r="C62" s="10" t="s">
        <v>218</v>
      </c>
      <c r="D62" s="10" t="s">
        <v>219</v>
      </c>
      <c r="E62" s="9" t="s">
        <v>59</v>
      </c>
      <c r="F62" s="9" t="s">
        <v>63</v>
      </c>
      <c r="G62" s="11" t="n">
        <v>46080</v>
      </c>
      <c r="H62" s="11" t="n">
        <v>46445</v>
      </c>
      <c r="I62" s="12" t="n">
        <f aca="true">IF(H62="","",H62-TODAY())</f>
        <v>138</v>
      </c>
      <c r="J62" s="10"/>
      <c r="K62" s="13" t="s">
        <v>53</v>
      </c>
      <c r="L62" s="14"/>
      <c r="M62" s="15"/>
      <c r="N62" s="16"/>
      <c r="O62" s="15"/>
      <c r="P62" s="16"/>
      <c r="Q62" s="15"/>
      <c r="R62" s="14"/>
    </row>
    <row r="63" customFormat="false" ht="23.85" hidden="false" customHeight="false" outlineLevel="0" collapsed="false">
      <c r="A63" s="9" t="s">
        <v>124</v>
      </c>
      <c r="B63" s="9" t="n">
        <v>790</v>
      </c>
      <c r="C63" s="10" t="s">
        <v>220</v>
      </c>
      <c r="D63" s="10" t="s">
        <v>219</v>
      </c>
      <c r="E63" s="9" t="s">
        <v>59</v>
      </c>
      <c r="F63" s="9" t="s">
        <v>63</v>
      </c>
      <c r="G63" s="11" t="n">
        <v>46080</v>
      </c>
      <c r="H63" s="11" t="n">
        <v>46445</v>
      </c>
      <c r="I63" s="12" t="n">
        <f aca="true">IF(H63="","",H63-TODAY())</f>
        <v>138</v>
      </c>
      <c r="J63" s="10" t="s">
        <v>221</v>
      </c>
      <c r="K63" s="13" t="s">
        <v>53</v>
      </c>
      <c r="L63" s="14"/>
      <c r="M63" s="15"/>
      <c r="N63" s="16"/>
      <c r="O63" s="15"/>
      <c r="P63" s="16"/>
      <c r="Q63" s="15"/>
      <c r="R63" s="14"/>
    </row>
    <row r="64" customFormat="false" ht="23.85" hidden="false" customHeight="false" outlineLevel="0" collapsed="false">
      <c r="A64" s="9" t="s">
        <v>124</v>
      </c>
      <c r="B64" s="9" t="n">
        <v>810</v>
      </c>
      <c r="C64" s="10" t="s">
        <v>222</v>
      </c>
      <c r="D64" s="10" t="s">
        <v>219</v>
      </c>
      <c r="E64" s="9" t="s">
        <v>50</v>
      </c>
      <c r="F64" s="9" t="s">
        <v>63</v>
      </c>
      <c r="G64" s="11" t="n">
        <v>46080</v>
      </c>
      <c r="H64" s="11" t="n">
        <v>46445</v>
      </c>
      <c r="I64" s="12" t="n">
        <f aca="true">IF(H64="","",H64-TODAY())</f>
        <v>138</v>
      </c>
      <c r="J64" s="10" t="s">
        <v>223</v>
      </c>
      <c r="K64" s="13" t="s">
        <v>53</v>
      </c>
      <c r="L64" s="14"/>
      <c r="M64" s="15"/>
      <c r="N64" s="16"/>
      <c r="O64" s="15"/>
      <c r="P64" s="16"/>
      <c r="Q64" s="15"/>
      <c r="R64" s="14"/>
    </row>
    <row r="65" customFormat="false" ht="23.85" hidden="false" customHeight="false" outlineLevel="0" collapsed="false">
      <c r="A65" s="9" t="s">
        <v>124</v>
      </c>
      <c r="B65" s="9" t="n">
        <v>1064</v>
      </c>
      <c r="C65" s="10" t="s">
        <v>224</v>
      </c>
      <c r="D65" s="10" t="s">
        <v>219</v>
      </c>
      <c r="E65" s="9" t="s">
        <v>59</v>
      </c>
      <c r="F65" s="9" t="s">
        <v>63</v>
      </c>
      <c r="G65" s="11" t="n">
        <v>46080</v>
      </c>
      <c r="H65" s="11" t="n">
        <v>46445</v>
      </c>
      <c r="I65" s="12" t="n">
        <f aca="true">IF(H65="","",H65-TODAY())</f>
        <v>138</v>
      </c>
      <c r="J65" s="10" t="s">
        <v>225</v>
      </c>
      <c r="K65" s="13" t="s">
        <v>53</v>
      </c>
      <c r="L65" s="14"/>
      <c r="M65" s="15"/>
      <c r="N65" s="16"/>
      <c r="O65" s="15"/>
      <c r="P65" s="16"/>
      <c r="Q65" s="15"/>
      <c r="R65" s="14"/>
    </row>
    <row r="66" customFormat="false" ht="23.85" hidden="false" customHeight="false" outlineLevel="0" collapsed="false">
      <c r="A66" s="9" t="s">
        <v>124</v>
      </c>
      <c r="B66" s="9" t="n">
        <v>811</v>
      </c>
      <c r="C66" s="10" t="s">
        <v>226</v>
      </c>
      <c r="D66" s="10" t="s">
        <v>219</v>
      </c>
      <c r="E66" s="9" t="s">
        <v>50</v>
      </c>
      <c r="F66" s="9" t="s">
        <v>63</v>
      </c>
      <c r="G66" s="11" t="n">
        <v>46080</v>
      </c>
      <c r="H66" s="11" t="n">
        <v>46445</v>
      </c>
      <c r="I66" s="12" t="n">
        <f aca="true">IF(H66="","",H66-TODAY())</f>
        <v>138</v>
      </c>
      <c r="J66" s="10" t="s">
        <v>227</v>
      </c>
      <c r="K66" s="13" t="s">
        <v>53</v>
      </c>
      <c r="L66" s="14"/>
      <c r="M66" s="15"/>
      <c r="N66" s="16"/>
      <c r="O66" s="15"/>
      <c r="P66" s="16"/>
      <c r="Q66" s="15"/>
      <c r="R66" s="14"/>
    </row>
    <row r="67" customFormat="false" ht="23.85" hidden="false" customHeight="false" outlineLevel="0" collapsed="false">
      <c r="A67" s="9" t="s">
        <v>124</v>
      </c>
      <c r="B67" s="9" t="n">
        <v>61</v>
      </c>
      <c r="C67" s="10" t="s">
        <v>228</v>
      </c>
      <c r="D67" s="10" t="s">
        <v>229</v>
      </c>
      <c r="E67" s="9" t="s">
        <v>50</v>
      </c>
      <c r="F67" s="9" t="s">
        <v>51</v>
      </c>
      <c r="G67" s="11" t="n">
        <v>46080</v>
      </c>
      <c r="H67" s="11" t="n">
        <v>46445</v>
      </c>
      <c r="I67" s="12" t="n">
        <f aca="true">IF(H67="","",H67-TODAY())</f>
        <v>138</v>
      </c>
      <c r="J67" s="10" t="s">
        <v>230</v>
      </c>
      <c r="K67" s="13" t="s">
        <v>53</v>
      </c>
      <c r="L67" s="14"/>
      <c r="M67" s="15"/>
      <c r="N67" s="16"/>
      <c r="O67" s="15"/>
      <c r="P67" s="16"/>
      <c r="Q67" s="15"/>
      <c r="R67" s="14"/>
    </row>
    <row r="68" customFormat="false" ht="23.85" hidden="false" customHeight="false" outlineLevel="0" collapsed="false">
      <c r="A68" s="9" t="s">
        <v>124</v>
      </c>
      <c r="B68" s="9" t="n">
        <v>796</v>
      </c>
      <c r="C68" s="10" t="s">
        <v>231</v>
      </c>
      <c r="D68" s="10" t="s">
        <v>219</v>
      </c>
      <c r="E68" s="9" t="s">
        <v>59</v>
      </c>
      <c r="F68" s="9" t="s">
        <v>63</v>
      </c>
      <c r="G68" s="11" t="n">
        <v>46080</v>
      </c>
      <c r="H68" s="11" t="n">
        <v>46445</v>
      </c>
      <c r="I68" s="12" t="n">
        <f aca="true">IF(H68="","",H68-TODAY())</f>
        <v>138</v>
      </c>
      <c r="J68" s="10"/>
      <c r="K68" s="13" t="s">
        <v>53</v>
      </c>
      <c r="L68" s="14"/>
      <c r="M68" s="15"/>
      <c r="N68" s="16"/>
      <c r="O68" s="15"/>
      <c r="P68" s="16"/>
      <c r="Q68" s="15"/>
      <c r="R68" s="14"/>
    </row>
    <row r="69" customFormat="false" ht="23.85" hidden="false" customHeight="false" outlineLevel="0" collapsed="false">
      <c r="A69" s="9" t="s">
        <v>124</v>
      </c>
      <c r="B69" s="9" t="n">
        <v>804</v>
      </c>
      <c r="C69" s="10" t="s">
        <v>232</v>
      </c>
      <c r="D69" s="10" t="s">
        <v>219</v>
      </c>
      <c r="E69" s="9" t="s">
        <v>59</v>
      </c>
      <c r="F69" s="9" t="s">
        <v>63</v>
      </c>
      <c r="G69" s="11" t="n">
        <v>46080</v>
      </c>
      <c r="H69" s="11" t="n">
        <v>46445</v>
      </c>
      <c r="I69" s="12" t="n">
        <f aca="true">IF(H69="","",H69-TODAY())</f>
        <v>138</v>
      </c>
      <c r="J69" s="10"/>
      <c r="K69" s="13" t="s">
        <v>53</v>
      </c>
      <c r="L69" s="14"/>
      <c r="M69" s="15"/>
      <c r="N69" s="16"/>
      <c r="O69" s="15"/>
      <c r="P69" s="16"/>
      <c r="Q69" s="15"/>
      <c r="R69" s="14"/>
    </row>
    <row r="70" customFormat="false" ht="23.85" hidden="false" customHeight="false" outlineLevel="0" collapsed="false">
      <c r="A70" s="9" t="s">
        <v>124</v>
      </c>
      <c r="B70" s="9" t="n">
        <v>1102</v>
      </c>
      <c r="C70" s="10" t="s">
        <v>233</v>
      </c>
      <c r="D70" s="10" t="s">
        <v>234</v>
      </c>
      <c r="E70" s="9" t="s">
        <v>50</v>
      </c>
      <c r="F70" s="9" t="s">
        <v>63</v>
      </c>
      <c r="G70" s="11" t="n">
        <v>46081</v>
      </c>
      <c r="H70" s="11" t="n">
        <v>46446</v>
      </c>
      <c r="I70" s="12" t="n">
        <f aca="true">IF(H70="","",H70-TODAY())</f>
        <v>139</v>
      </c>
      <c r="J70" s="10" t="s">
        <v>235</v>
      </c>
      <c r="K70" s="13" t="s">
        <v>53</v>
      </c>
      <c r="L70" s="14"/>
      <c r="M70" s="15"/>
      <c r="N70" s="16"/>
      <c r="O70" s="15"/>
      <c r="P70" s="16"/>
      <c r="Q70" s="15"/>
      <c r="R70" s="14"/>
    </row>
    <row r="71" customFormat="false" ht="23.85" hidden="false" customHeight="false" outlineLevel="0" collapsed="false">
      <c r="A71" s="9" t="s">
        <v>124</v>
      </c>
      <c r="B71" s="9" t="n">
        <v>199</v>
      </c>
      <c r="C71" s="10" t="s">
        <v>236</v>
      </c>
      <c r="D71" s="10" t="s">
        <v>91</v>
      </c>
      <c r="E71" s="9" t="s">
        <v>59</v>
      </c>
      <c r="F71" s="9" t="s">
        <v>63</v>
      </c>
      <c r="G71" s="11" t="n">
        <v>46082</v>
      </c>
      <c r="H71" s="11" t="n">
        <v>46447</v>
      </c>
      <c r="I71" s="12" t="n">
        <f aca="true">IF(H71="","",H71-TODAY())</f>
        <v>140</v>
      </c>
      <c r="J71" s="10" t="s">
        <v>237</v>
      </c>
      <c r="K71" s="13" t="s">
        <v>53</v>
      </c>
      <c r="L71" s="14"/>
      <c r="M71" s="15"/>
      <c r="N71" s="16"/>
      <c r="O71" s="15"/>
      <c r="P71" s="16"/>
      <c r="Q71" s="15"/>
      <c r="R71" s="14"/>
    </row>
    <row r="72" customFormat="false" ht="23.85" hidden="false" customHeight="false" outlineLevel="0" collapsed="false">
      <c r="A72" s="9" t="s">
        <v>124</v>
      </c>
      <c r="B72" s="9" t="n">
        <v>918</v>
      </c>
      <c r="C72" s="10" t="s">
        <v>238</v>
      </c>
      <c r="D72" s="10" t="s">
        <v>204</v>
      </c>
      <c r="E72" s="9" t="s">
        <v>59</v>
      </c>
      <c r="F72" s="9" t="s">
        <v>98</v>
      </c>
      <c r="G72" s="11" t="n">
        <v>46082</v>
      </c>
      <c r="H72" s="11" t="n">
        <v>46447</v>
      </c>
      <c r="I72" s="12" t="n">
        <f aca="true">IF(H72="","",H72-TODAY())</f>
        <v>140</v>
      </c>
      <c r="J72" s="10" t="s">
        <v>239</v>
      </c>
      <c r="K72" s="13" t="s">
        <v>53</v>
      </c>
      <c r="L72" s="14"/>
      <c r="M72" s="15"/>
      <c r="N72" s="16"/>
      <c r="O72" s="15"/>
      <c r="P72" s="16"/>
      <c r="Q72" s="15"/>
      <c r="R72" s="14"/>
    </row>
    <row r="73" customFormat="false" ht="23.85" hidden="false" customHeight="false" outlineLevel="0" collapsed="false">
      <c r="A73" s="9" t="s">
        <v>124</v>
      </c>
      <c r="B73" s="9" t="n">
        <v>786</v>
      </c>
      <c r="C73" s="10" t="s">
        <v>240</v>
      </c>
      <c r="D73" s="10" t="s">
        <v>241</v>
      </c>
      <c r="E73" s="9" t="s">
        <v>50</v>
      </c>
      <c r="F73" s="9" t="s">
        <v>98</v>
      </c>
      <c r="G73" s="11" t="n">
        <v>46082</v>
      </c>
      <c r="H73" s="11" t="n">
        <v>46447</v>
      </c>
      <c r="I73" s="12" t="n">
        <f aca="true">IF(H73="","",H73-TODAY())</f>
        <v>140</v>
      </c>
      <c r="J73" s="10" t="s">
        <v>242</v>
      </c>
      <c r="K73" s="13" t="s">
        <v>53</v>
      </c>
      <c r="L73" s="14"/>
      <c r="M73" s="15"/>
      <c r="N73" s="16"/>
      <c r="O73" s="15"/>
      <c r="P73" s="16"/>
      <c r="Q73" s="15"/>
      <c r="R73" s="14"/>
    </row>
    <row r="74" customFormat="false" ht="23.85" hidden="false" customHeight="false" outlineLevel="0" collapsed="false">
      <c r="A74" s="9" t="s">
        <v>124</v>
      </c>
      <c r="B74" s="9" t="n">
        <v>787</v>
      </c>
      <c r="C74" s="10" t="s">
        <v>243</v>
      </c>
      <c r="D74" s="10" t="s">
        <v>241</v>
      </c>
      <c r="E74" s="9" t="s">
        <v>50</v>
      </c>
      <c r="F74" s="9" t="s">
        <v>98</v>
      </c>
      <c r="G74" s="11" t="n">
        <v>46082</v>
      </c>
      <c r="H74" s="11" t="n">
        <v>46447</v>
      </c>
      <c r="I74" s="12" t="n">
        <f aca="true">IF(H74="","",H74-TODAY())</f>
        <v>140</v>
      </c>
      <c r="J74" s="10" t="s">
        <v>244</v>
      </c>
      <c r="K74" s="13" t="s">
        <v>53</v>
      </c>
      <c r="L74" s="14"/>
      <c r="M74" s="15"/>
      <c r="N74" s="16"/>
      <c r="O74" s="15"/>
      <c r="P74" s="16"/>
      <c r="Q74" s="15"/>
      <c r="R74" s="14"/>
    </row>
    <row r="75" customFormat="false" ht="23.85" hidden="false" customHeight="false" outlineLevel="0" collapsed="false">
      <c r="A75" s="9" t="s">
        <v>124</v>
      </c>
      <c r="B75" s="9" t="n">
        <v>789</v>
      </c>
      <c r="C75" s="10" t="s">
        <v>245</v>
      </c>
      <c r="D75" s="10" t="s">
        <v>241</v>
      </c>
      <c r="E75" s="9" t="s">
        <v>50</v>
      </c>
      <c r="F75" s="9" t="s">
        <v>98</v>
      </c>
      <c r="G75" s="11" t="n">
        <v>46082</v>
      </c>
      <c r="H75" s="11" t="n">
        <v>46447</v>
      </c>
      <c r="I75" s="12" t="n">
        <f aca="true">IF(H75="","",H75-TODAY())</f>
        <v>140</v>
      </c>
      <c r="J75" s="10" t="s">
        <v>202</v>
      </c>
      <c r="K75" s="13" t="s">
        <v>53</v>
      </c>
      <c r="L75" s="14"/>
      <c r="M75" s="15"/>
      <c r="N75" s="16"/>
      <c r="O75" s="15"/>
      <c r="P75" s="16"/>
      <c r="Q75" s="15"/>
      <c r="R75" s="14"/>
    </row>
    <row r="76" customFormat="false" ht="23.85" hidden="false" customHeight="false" outlineLevel="0" collapsed="false">
      <c r="A76" s="9" t="s">
        <v>124</v>
      </c>
      <c r="B76" s="9" t="n">
        <v>884</v>
      </c>
      <c r="C76" s="10" t="s">
        <v>246</v>
      </c>
      <c r="D76" s="10" t="s">
        <v>247</v>
      </c>
      <c r="E76" s="9" t="s">
        <v>59</v>
      </c>
      <c r="F76" s="9" t="s">
        <v>63</v>
      </c>
      <c r="G76" s="11" t="n">
        <v>46083</v>
      </c>
      <c r="H76" s="11" t="n">
        <v>46448</v>
      </c>
      <c r="I76" s="12" t="n">
        <f aca="true">IF(H76="","",H76-TODAY())</f>
        <v>141</v>
      </c>
      <c r="J76" s="10" t="s">
        <v>248</v>
      </c>
      <c r="K76" s="13" t="s">
        <v>53</v>
      </c>
      <c r="L76" s="14"/>
      <c r="M76" s="15"/>
      <c r="N76" s="16"/>
      <c r="O76" s="15"/>
      <c r="P76" s="16"/>
      <c r="Q76" s="15"/>
      <c r="R76" s="14"/>
    </row>
    <row r="77" customFormat="false" ht="23.85" hidden="false" customHeight="false" outlineLevel="0" collapsed="false">
      <c r="A77" s="9" t="s">
        <v>124</v>
      </c>
      <c r="B77" s="9" t="n">
        <v>263</v>
      </c>
      <c r="C77" s="10" t="s">
        <v>249</v>
      </c>
      <c r="D77" s="10" t="s">
        <v>250</v>
      </c>
      <c r="E77" s="9" t="s">
        <v>59</v>
      </c>
      <c r="F77" s="9" t="s">
        <v>63</v>
      </c>
      <c r="G77" s="11" t="n">
        <v>46083</v>
      </c>
      <c r="H77" s="11" t="n">
        <v>46448</v>
      </c>
      <c r="I77" s="12" t="n">
        <f aca="true">IF(H77="","",H77-TODAY())</f>
        <v>141</v>
      </c>
      <c r="J77" s="10"/>
      <c r="K77" s="13" t="s">
        <v>53</v>
      </c>
      <c r="L77" s="14"/>
      <c r="M77" s="15"/>
      <c r="N77" s="16"/>
      <c r="O77" s="15"/>
      <c r="P77" s="16"/>
      <c r="Q77" s="15"/>
      <c r="R77" s="14"/>
    </row>
    <row r="78" customFormat="false" ht="23.85" hidden="false" customHeight="false" outlineLevel="0" collapsed="false">
      <c r="A78" s="9" t="s">
        <v>124</v>
      </c>
      <c r="B78" s="9" t="n">
        <v>1041</v>
      </c>
      <c r="C78" s="10" t="s">
        <v>251</v>
      </c>
      <c r="D78" s="10" t="s">
        <v>252</v>
      </c>
      <c r="E78" s="9" t="s">
        <v>59</v>
      </c>
      <c r="F78" s="9" t="s">
        <v>63</v>
      </c>
      <c r="G78" s="11" t="n">
        <v>46087</v>
      </c>
      <c r="H78" s="11" t="n">
        <v>46452</v>
      </c>
      <c r="I78" s="12" t="n">
        <f aca="true">IF(H78="","",H78-TODAY())</f>
        <v>145</v>
      </c>
      <c r="J78" s="10" t="s">
        <v>235</v>
      </c>
      <c r="K78" s="13" t="s">
        <v>53</v>
      </c>
      <c r="L78" s="14"/>
      <c r="M78" s="15"/>
      <c r="N78" s="16"/>
      <c r="O78" s="15"/>
      <c r="P78" s="16"/>
      <c r="Q78" s="15"/>
      <c r="R78" s="14"/>
    </row>
    <row r="79" customFormat="false" ht="23.85" hidden="false" customHeight="false" outlineLevel="0" collapsed="false">
      <c r="A79" s="9" t="s">
        <v>124</v>
      </c>
      <c r="B79" s="9" t="n">
        <v>791</v>
      </c>
      <c r="C79" s="10" t="s">
        <v>253</v>
      </c>
      <c r="D79" s="10" t="s">
        <v>254</v>
      </c>
      <c r="E79" s="9" t="s">
        <v>59</v>
      </c>
      <c r="F79" s="9" t="s">
        <v>63</v>
      </c>
      <c r="G79" s="11" t="n">
        <v>46089</v>
      </c>
      <c r="H79" s="11" t="n">
        <v>46454</v>
      </c>
      <c r="I79" s="12" t="n">
        <f aca="true">IF(H79="","",H79-TODAY())</f>
        <v>147</v>
      </c>
      <c r="J79" s="10" t="s">
        <v>255</v>
      </c>
      <c r="K79" s="13" t="s">
        <v>53</v>
      </c>
      <c r="L79" s="14"/>
      <c r="M79" s="15"/>
      <c r="N79" s="16"/>
      <c r="O79" s="15"/>
      <c r="P79" s="16"/>
      <c r="Q79" s="15"/>
      <c r="R79" s="14"/>
    </row>
    <row r="80" customFormat="false" ht="23.85" hidden="false" customHeight="false" outlineLevel="0" collapsed="false">
      <c r="A80" s="9" t="s">
        <v>124</v>
      </c>
      <c r="B80" s="9" t="n">
        <v>792</v>
      </c>
      <c r="C80" s="10" t="s">
        <v>256</v>
      </c>
      <c r="D80" s="10" t="s">
        <v>254</v>
      </c>
      <c r="E80" s="9" t="s">
        <v>59</v>
      </c>
      <c r="F80" s="9" t="s">
        <v>63</v>
      </c>
      <c r="G80" s="11" t="n">
        <v>46089</v>
      </c>
      <c r="H80" s="11" t="n">
        <v>46454</v>
      </c>
      <c r="I80" s="12" t="n">
        <f aca="true">IF(H80="","",H80-TODAY())</f>
        <v>147</v>
      </c>
      <c r="J80" s="10" t="s">
        <v>257</v>
      </c>
      <c r="K80" s="13" t="s">
        <v>53</v>
      </c>
      <c r="L80" s="14"/>
      <c r="M80" s="15"/>
      <c r="N80" s="16"/>
      <c r="O80" s="15"/>
      <c r="P80" s="16"/>
      <c r="Q80" s="15"/>
      <c r="R80" s="14"/>
    </row>
    <row r="81" customFormat="false" ht="23.85" hidden="false" customHeight="false" outlineLevel="0" collapsed="false">
      <c r="A81" s="9" t="s">
        <v>124</v>
      </c>
      <c r="B81" s="9" t="n">
        <v>269</v>
      </c>
      <c r="C81" s="10" t="s">
        <v>258</v>
      </c>
      <c r="D81" s="10" t="s">
        <v>259</v>
      </c>
      <c r="E81" s="9" t="s">
        <v>59</v>
      </c>
      <c r="F81" s="9" t="s">
        <v>63</v>
      </c>
      <c r="G81" s="11" t="n">
        <v>46090</v>
      </c>
      <c r="H81" s="11" t="n">
        <v>46455</v>
      </c>
      <c r="I81" s="12" t="n">
        <f aca="true">IF(H81="","",H81-TODAY())</f>
        <v>148</v>
      </c>
      <c r="J81" s="10" t="s">
        <v>260</v>
      </c>
      <c r="K81" s="13" t="s">
        <v>53</v>
      </c>
      <c r="L81" s="14"/>
      <c r="M81" s="15"/>
      <c r="N81" s="16"/>
      <c r="O81" s="15"/>
      <c r="P81" s="16"/>
      <c r="Q81" s="15"/>
      <c r="R81" s="14"/>
    </row>
    <row r="82" customFormat="false" ht="23.85" hidden="false" customHeight="false" outlineLevel="0" collapsed="false">
      <c r="A82" s="9" t="s">
        <v>124</v>
      </c>
      <c r="B82" s="9" t="n">
        <v>479</v>
      </c>
      <c r="C82" s="10" t="s">
        <v>261</v>
      </c>
      <c r="D82" s="10" t="s">
        <v>262</v>
      </c>
      <c r="E82" s="9" t="s">
        <v>59</v>
      </c>
      <c r="F82" s="9" t="s">
        <v>63</v>
      </c>
      <c r="G82" s="11" t="n">
        <v>46091</v>
      </c>
      <c r="H82" s="11" t="n">
        <v>46456</v>
      </c>
      <c r="I82" s="12" t="n">
        <f aca="true">IF(H82="","",H82-TODAY())</f>
        <v>149</v>
      </c>
      <c r="J82" s="10" t="s">
        <v>263</v>
      </c>
      <c r="K82" s="13" t="s">
        <v>53</v>
      </c>
      <c r="L82" s="14"/>
      <c r="M82" s="15"/>
      <c r="N82" s="16"/>
      <c r="O82" s="15"/>
      <c r="P82" s="16"/>
      <c r="Q82" s="15"/>
      <c r="R82" s="14"/>
    </row>
    <row r="83" customFormat="false" ht="23.85" hidden="false" customHeight="false" outlineLevel="0" collapsed="false">
      <c r="A83" s="9" t="s">
        <v>124</v>
      </c>
      <c r="B83" s="9" t="n">
        <v>406</v>
      </c>
      <c r="C83" s="10" t="s">
        <v>264</v>
      </c>
      <c r="D83" s="10" t="s">
        <v>265</v>
      </c>
      <c r="E83" s="9" t="s">
        <v>50</v>
      </c>
      <c r="F83" s="9" t="s">
        <v>63</v>
      </c>
      <c r="G83" s="11" t="n">
        <v>46092</v>
      </c>
      <c r="H83" s="11" t="n">
        <v>46457</v>
      </c>
      <c r="I83" s="12" t="n">
        <f aca="true">IF(H83="","",H83-TODAY())</f>
        <v>150</v>
      </c>
      <c r="J83" s="10" t="s">
        <v>266</v>
      </c>
      <c r="K83" s="13" t="s">
        <v>53</v>
      </c>
      <c r="L83" s="14"/>
      <c r="M83" s="15"/>
      <c r="N83" s="16"/>
      <c r="O83" s="15"/>
      <c r="P83" s="16"/>
      <c r="Q83" s="15"/>
      <c r="R83" s="14"/>
    </row>
    <row r="84" customFormat="false" ht="23.85" hidden="false" customHeight="false" outlineLevel="0" collapsed="false">
      <c r="A84" s="9" t="s">
        <v>124</v>
      </c>
      <c r="B84" s="9" t="n">
        <v>1122</v>
      </c>
      <c r="C84" s="10" t="s">
        <v>267</v>
      </c>
      <c r="D84" s="10" t="s">
        <v>268</v>
      </c>
      <c r="E84" s="9" t="s">
        <v>59</v>
      </c>
      <c r="F84" s="9" t="s">
        <v>63</v>
      </c>
      <c r="G84" s="11" t="n">
        <v>46094</v>
      </c>
      <c r="H84" s="11" t="n">
        <v>46459</v>
      </c>
      <c r="I84" s="12" t="n">
        <f aca="true">IF(H84="","",H84-TODAY())</f>
        <v>152</v>
      </c>
      <c r="J84" s="10" t="s">
        <v>269</v>
      </c>
      <c r="K84" s="13" t="s">
        <v>53</v>
      </c>
      <c r="L84" s="14"/>
      <c r="M84" s="15"/>
      <c r="N84" s="16"/>
      <c r="O84" s="15"/>
      <c r="P84" s="16"/>
      <c r="Q84" s="15"/>
      <c r="R84" s="14"/>
    </row>
    <row r="85" customFormat="false" ht="23.85" hidden="false" customHeight="false" outlineLevel="0" collapsed="false">
      <c r="A85" s="9" t="s">
        <v>124</v>
      </c>
      <c r="B85" s="9" t="n">
        <v>919</v>
      </c>
      <c r="C85" s="10" t="s">
        <v>270</v>
      </c>
      <c r="D85" s="10" t="s">
        <v>204</v>
      </c>
      <c r="E85" s="9" t="s">
        <v>59</v>
      </c>
      <c r="F85" s="9" t="s">
        <v>98</v>
      </c>
      <c r="G85" s="11" t="n">
        <v>46096</v>
      </c>
      <c r="H85" s="11" t="n">
        <v>46461</v>
      </c>
      <c r="I85" s="12" t="n">
        <f aca="true">IF(H85="","",H85-TODAY())</f>
        <v>154</v>
      </c>
      <c r="J85" s="10" t="s">
        <v>271</v>
      </c>
      <c r="K85" s="13" t="s">
        <v>53</v>
      </c>
      <c r="L85" s="14"/>
      <c r="M85" s="15"/>
      <c r="N85" s="16"/>
      <c r="O85" s="15"/>
      <c r="P85" s="16"/>
      <c r="Q85" s="15"/>
      <c r="R85" s="14"/>
    </row>
    <row r="86" customFormat="false" ht="23.85" hidden="false" customHeight="false" outlineLevel="0" collapsed="false">
      <c r="A86" s="9" t="s">
        <v>124</v>
      </c>
      <c r="B86" s="9" t="n">
        <v>565</v>
      </c>
      <c r="C86" s="10" t="s">
        <v>272</v>
      </c>
      <c r="D86" s="10" t="s">
        <v>273</v>
      </c>
      <c r="E86" s="9" t="s">
        <v>50</v>
      </c>
      <c r="F86" s="9" t="s">
        <v>51</v>
      </c>
      <c r="G86" s="11" t="n">
        <v>46096</v>
      </c>
      <c r="H86" s="11" t="n">
        <v>46461</v>
      </c>
      <c r="I86" s="12" t="n">
        <f aca="true">IF(H86="","",H86-TODAY())</f>
        <v>154</v>
      </c>
      <c r="J86" s="10" t="s">
        <v>274</v>
      </c>
      <c r="K86" s="13" t="s">
        <v>53</v>
      </c>
      <c r="L86" s="14"/>
      <c r="M86" s="15"/>
      <c r="N86" s="16"/>
      <c r="O86" s="15"/>
      <c r="P86" s="16"/>
      <c r="Q86" s="15"/>
      <c r="R86" s="14"/>
    </row>
    <row r="87" customFormat="false" ht="23.85" hidden="false" customHeight="false" outlineLevel="0" collapsed="false">
      <c r="A87" s="9" t="s">
        <v>124</v>
      </c>
      <c r="B87" s="9" t="n">
        <v>340</v>
      </c>
      <c r="C87" s="10" t="s">
        <v>275</v>
      </c>
      <c r="D87" s="10" t="s">
        <v>276</v>
      </c>
      <c r="E87" s="9" t="s">
        <v>59</v>
      </c>
      <c r="F87" s="9" t="s">
        <v>63</v>
      </c>
      <c r="G87" s="11" t="n">
        <v>46096</v>
      </c>
      <c r="H87" s="11" t="n">
        <v>46461</v>
      </c>
      <c r="I87" s="12" t="n">
        <f aca="true">IF(H87="","",H87-TODAY())</f>
        <v>154</v>
      </c>
      <c r="J87" s="10" t="s">
        <v>277</v>
      </c>
      <c r="K87" s="13" t="s">
        <v>53</v>
      </c>
      <c r="L87" s="14"/>
      <c r="M87" s="15"/>
      <c r="N87" s="16"/>
      <c r="O87" s="15"/>
      <c r="P87" s="16"/>
      <c r="Q87" s="15"/>
      <c r="R87" s="14"/>
    </row>
    <row r="88" customFormat="false" ht="46.25" hidden="false" customHeight="false" outlineLevel="0" collapsed="false">
      <c r="A88" s="9" t="s">
        <v>124</v>
      </c>
      <c r="B88" s="9" t="n">
        <v>904</v>
      </c>
      <c r="C88" s="10" t="s">
        <v>278</v>
      </c>
      <c r="D88" s="10" t="s">
        <v>279</v>
      </c>
      <c r="E88" s="9" t="s">
        <v>59</v>
      </c>
      <c r="F88" s="9" t="s">
        <v>63</v>
      </c>
      <c r="G88" s="11" t="n">
        <v>46098</v>
      </c>
      <c r="H88" s="11" t="n">
        <v>46463</v>
      </c>
      <c r="I88" s="12" t="n">
        <f aca="true">IF(H88="","",H88-TODAY())</f>
        <v>156</v>
      </c>
      <c r="J88" s="10" t="s">
        <v>280</v>
      </c>
      <c r="K88" s="13" t="s">
        <v>53</v>
      </c>
      <c r="L88" s="14"/>
      <c r="M88" s="15"/>
      <c r="N88" s="16"/>
      <c r="O88" s="15"/>
      <c r="P88" s="16"/>
      <c r="Q88" s="15"/>
      <c r="R88" s="14"/>
    </row>
    <row r="89" customFormat="false" ht="23.85" hidden="false" customHeight="false" outlineLevel="0" collapsed="false">
      <c r="A89" s="9" t="s">
        <v>124</v>
      </c>
      <c r="B89" s="9" t="n">
        <v>702</v>
      </c>
      <c r="C89" s="10" t="s">
        <v>281</v>
      </c>
      <c r="D89" s="10" t="s">
        <v>282</v>
      </c>
      <c r="E89" s="9" t="s">
        <v>59</v>
      </c>
      <c r="F89" s="9" t="s">
        <v>63</v>
      </c>
      <c r="G89" s="11" t="n">
        <v>46102</v>
      </c>
      <c r="H89" s="11" t="n">
        <v>46467</v>
      </c>
      <c r="I89" s="12" t="n">
        <f aca="true">IF(H89="","",H89-TODAY())</f>
        <v>160</v>
      </c>
      <c r="J89" s="10" t="s">
        <v>283</v>
      </c>
      <c r="K89" s="13" t="s">
        <v>53</v>
      </c>
      <c r="L89" s="14"/>
      <c r="M89" s="15"/>
      <c r="N89" s="16"/>
      <c r="O89" s="15"/>
      <c r="P89" s="16"/>
      <c r="Q89" s="15"/>
      <c r="R89" s="14"/>
    </row>
    <row r="90" customFormat="false" ht="15" hidden="false" customHeight="false" outlineLevel="0" collapsed="false">
      <c r="A90" s="9" t="s">
        <v>124</v>
      </c>
      <c r="B90" s="9" t="n">
        <v>969</v>
      </c>
      <c r="C90" s="10" t="s">
        <v>284</v>
      </c>
      <c r="D90" s="10" t="s">
        <v>285</v>
      </c>
      <c r="E90" s="9" t="s">
        <v>59</v>
      </c>
      <c r="F90" s="9" t="s">
        <v>63</v>
      </c>
      <c r="G90" s="11" t="n">
        <v>46106</v>
      </c>
      <c r="H90" s="11" t="n">
        <v>46471</v>
      </c>
      <c r="I90" s="12" t="n">
        <f aca="true">IF(H90="","",H90-TODAY())</f>
        <v>164</v>
      </c>
      <c r="J90" s="10" t="s">
        <v>286</v>
      </c>
      <c r="K90" s="13" t="s">
        <v>53</v>
      </c>
      <c r="L90" s="14"/>
      <c r="M90" s="15"/>
      <c r="N90" s="16"/>
      <c r="O90" s="15"/>
      <c r="P90" s="16"/>
      <c r="Q90" s="15"/>
      <c r="R90" s="14"/>
    </row>
    <row r="91" customFormat="false" ht="15" hidden="false" customHeight="false" outlineLevel="0" collapsed="false">
      <c r="A91" s="9" t="s">
        <v>124</v>
      </c>
      <c r="B91" s="9" t="n">
        <v>801</v>
      </c>
      <c r="C91" s="10" t="s">
        <v>287</v>
      </c>
      <c r="D91" s="10" t="s">
        <v>285</v>
      </c>
      <c r="E91" s="9" t="s">
        <v>59</v>
      </c>
      <c r="F91" s="9" t="s">
        <v>63</v>
      </c>
      <c r="G91" s="11" t="n">
        <v>46106</v>
      </c>
      <c r="H91" s="11" t="n">
        <v>46471</v>
      </c>
      <c r="I91" s="12" t="n">
        <f aca="true">IF(H91="","",H91-TODAY())</f>
        <v>164</v>
      </c>
      <c r="J91" s="10" t="s">
        <v>227</v>
      </c>
      <c r="K91" s="13" t="s">
        <v>53</v>
      </c>
      <c r="L91" s="14"/>
      <c r="M91" s="15"/>
      <c r="N91" s="16"/>
      <c r="O91" s="15"/>
      <c r="P91" s="16"/>
      <c r="Q91" s="15"/>
      <c r="R91" s="14"/>
    </row>
    <row r="92" customFormat="false" ht="15" hidden="false" customHeight="false" outlineLevel="0" collapsed="false">
      <c r="A92" s="9" t="s">
        <v>124</v>
      </c>
      <c r="B92" s="9" t="n">
        <v>1126</v>
      </c>
      <c r="C92" s="10" t="s">
        <v>288</v>
      </c>
      <c r="D92" s="10" t="s">
        <v>289</v>
      </c>
      <c r="E92" s="9" t="s">
        <v>59</v>
      </c>
      <c r="F92" s="9" t="s">
        <v>98</v>
      </c>
      <c r="G92" s="11" t="n">
        <v>46107</v>
      </c>
      <c r="H92" s="11" t="n">
        <v>46472</v>
      </c>
      <c r="I92" s="12" t="n">
        <f aca="true">IF(H92="","",H92-TODAY())</f>
        <v>165</v>
      </c>
      <c r="J92" s="10" t="s">
        <v>290</v>
      </c>
      <c r="K92" s="13" t="s">
        <v>53</v>
      </c>
      <c r="L92" s="14"/>
      <c r="M92" s="15"/>
      <c r="N92" s="16"/>
      <c r="O92" s="15"/>
      <c r="P92" s="16"/>
      <c r="Q92" s="15"/>
      <c r="R92" s="14"/>
    </row>
    <row r="93" customFormat="false" ht="15" hidden="false" customHeight="false" outlineLevel="0" collapsed="false">
      <c r="A93" s="9" t="s">
        <v>124</v>
      </c>
      <c r="B93" s="9" t="n">
        <v>480</v>
      </c>
      <c r="C93" s="10" t="s">
        <v>291</v>
      </c>
      <c r="D93" s="10" t="s">
        <v>292</v>
      </c>
      <c r="E93" s="9" t="s">
        <v>59</v>
      </c>
      <c r="F93" s="9" t="s">
        <v>98</v>
      </c>
      <c r="G93" s="11" t="n">
        <v>46108</v>
      </c>
      <c r="H93" s="11" t="n">
        <v>46473</v>
      </c>
      <c r="I93" s="12" t="n">
        <f aca="true">IF(H93="","",H93-TODAY())</f>
        <v>166</v>
      </c>
      <c r="J93" s="10"/>
      <c r="K93" s="13" t="s">
        <v>53</v>
      </c>
      <c r="L93" s="14"/>
      <c r="M93" s="15"/>
      <c r="N93" s="16"/>
      <c r="O93" s="15"/>
      <c r="P93" s="16"/>
      <c r="Q93" s="15"/>
      <c r="R93" s="14"/>
    </row>
    <row r="94" customFormat="false" ht="35.05" hidden="false" customHeight="false" outlineLevel="0" collapsed="false">
      <c r="A94" s="9" t="s">
        <v>124</v>
      </c>
      <c r="B94" s="9" t="n">
        <v>218</v>
      </c>
      <c r="C94" s="10" t="s">
        <v>293</v>
      </c>
      <c r="D94" s="10" t="s">
        <v>294</v>
      </c>
      <c r="E94" s="9" t="s">
        <v>59</v>
      </c>
      <c r="F94" s="9" t="s">
        <v>51</v>
      </c>
      <c r="G94" s="11" t="n">
        <v>46112</v>
      </c>
      <c r="H94" s="11" t="n">
        <v>46477</v>
      </c>
      <c r="I94" s="12" t="n">
        <f aca="true">IF(H94="","",H94-TODAY())</f>
        <v>170</v>
      </c>
      <c r="J94" s="10" t="s">
        <v>295</v>
      </c>
      <c r="K94" s="13" t="s">
        <v>53</v>
      </c>
      <c r="L94" s="14"/>
      <c r="M94" s="15"/>
      <c r="N94" s="16"/>
      <c r="O94" s="15"/>
      <c r="P94" s="16"/>
      <c r="Q94" s="15"/>
      <c r="R94" s="14"/>
    </row>
    <row r="95" customFormat="false" ht="15" hidden="false" customHeight="false" outlineLevel="0" collapsed="false">
      <c r="A95" s="9" t="s">
        <v>124</v>
      </c>
      <c r="B95" s="9" t="n">
        <v>1111</v>
      </c>
      <c r="C95" s="10" t="s">
        <v>296</v>
      </c>
      <c r="D95" s="10" t="s">
        <v>297</v>
      </c>
      <c r="E95" s="9" t="s">
        <v>50</v>
      </c>
      <c r="F95" s="9" t="s">
        <v>98</v>
      </c>
      <c r="G95" s="11" t="n">
        <v>46112</v>
      </c>
      <c r="H95" s="11" t="n">
        <v>46477</v>
      </c>
      <c r="I95" s="12" t="n">
        <f aca="true">IF(H95="","",H95-TODAY())</f>
        <v>170</v>
      </c>
      <c r="J95" s="10"/>
      <c r="K95" s="13" t="s">
        <v>53</v>
      </c>
      <c r="L95" s="14"/>
      <c r="M95" s="15"/>
      <c r="N95" s="16"/>
      <c r="O95" s="15"/>
      <c r="P95" s="16"/>
      <c r="Q95" s="15"/>
      <c r="R95" s="14"/>
    </row>
    <row r="96" customFormat="false" ht="46.25" hidden="false" customHeight="false" outlineLevel="0" collapsed="false">
      <c r="A96" s="9" t="s">
        <v>124</v>
      </c>
      <c r="B96" s="9" t="n">
        <v>750</v>
      </c>
      <c r="C96" s="10" t="s">
        <v>298</v>
      </c>
      <c r="D96" s="10" t="s">
        <v>299</v>
      </c>
      <c r="E96" s="9" t="s">
        <v>59</v>
      </c>
      <c r="F96" s="9" t="s">
        <v>98</v>
      </c>
      <c r="G96" s="11" t="n">
        <v>46112</v>
      </c>
      <c r="H96" s="11" t="n">
        <v>46477</v>
      </c>
      <c r="I96" s="12" t="n">
        <f aca="true">IF(H96="","",H96-TODAY())</f>
        <v>170</v>
      </c>
      <c r="J96" s="10" t="s">
        <v>300</v>
      </c>
      <c r="K96" s="13" t="s">
        <v>53</v>
      </c>
      <c r="L96" s="14"/>
      <c r="M96" s="15"/>
      <c r="N96" s="16"/>
      <c r="O96" s="15"/>
      <c r="P96" s="16"/>
      <c r="Q96" s="15"/>
      <c r="R96" s="14"/>
    </row>
    <row r="97" customFormat="false" ht="35.05" hidden="false" customHeight="false" outlineLevel="0" collapsed="false">
      <c r="A97" s="9" t="s">
        <v>124</v>
      </c>
      <c r="B97" s="9" t="n">
        <v>928</v>
      </c>
      <c r="C97" s="10" t="s">
        <v>301</v>
      </c>
      <c r="D97" s="10" t="s">
        <v>302</v>
      </c>
      <c r="E97" s="9" t="s">
        <v>59</v>
      </c>
      <c r="F97" s="9" t="s">
        <v>63</v>
      </c>
      <c r="G97" s="11" t="n">
        <v>46112</v>
      </c>
      <c r="H97" s="11" t="n">
        <v>46477</v>
      </c>
      <c r="I97" s="12" t="n">
        <f aca="true">IF(H97="","",H97-TODAY())</f>
        <v>170</v>
      </c>
      <c r="J97" s="10" t="s">
        <v>303</v>
      </c>
      <c r="K97" s="13" t="s">
        <v>53</v>
      </c>
      <c r="L97" s="14"/>
      <c r="M97" s="15"/>
      <c r="N97" s="16"/>
      <c r="O97" s="15"/>
      <c r="P97" s="16"/>
      <c r="Q97" s="15"/>
      <c r="R97" s="14"/>
    </row>
    <row r="98" customFormat="false" ht="23.85" hidden="false" customHeight="false" outlineLevel="0" collapsed="false">
      <c r="A98" s="9" t="s">
        <v>124</v>
      </c>
      <c r="B98" s="9" t="n">
        <v>324</v>
      </c>
      <c r="C98" s="10" t="s">
        <v>304</v>
      </c>
      <c r="D98" s="10" t="s">
        <v>305</v>
      </c>
      <c r="E98" s="9" t="s">
        <v>59</v>
      </c>
      <c r="F98" s="9" t="s">
        <v>63</v>
      </c>
      <c r="G98" s="11" t="n">
        <v>46112</v>
      </c>
      <c r="H98" s="11" t="n">
        <v>46477</v>
      </c>
      <c r="I98" s="12" t="n">
        <f aca="true">IF(H98="","",H98-TODAY())</f>
        <v>170</v>
      </c>
      <c r="J98" s="10" t="s">
        <v>202</v>
      </c>
      <c r="K98" s="13" t="s">
        <v>53</v>
      </c>
      <c r="L98" s="14"/>
      <c r="M98" s="15"/>
      <c r="N98" s="16"/>
      <c r="O98" s="15"/>
      <c r="P98" s="16"/>
      <c r="Q98" s="15"/>
      <c r="R98" s="14"/>
    </row>
    <row r="99" customFormat="false" ht="23.85" hidden="false" customHeight="false" outlineLevel="0" collapsed="false">
      <c r="A99" s="9" t="s">
        <v>124</v>
      </c>
      <c r="B99" s="9" t="n">
        <v>488</v>
      </c>
      <c r="C99" s="10" t="s">
        <v>306</v>
      </c>
      <c r="D99" s="10" t="s">
        <v>307</v>
      </c>
      <c r="E99" s="9" t="s">
        <v>59</v>
      </c>
      <c r="F99" s="9" t="s">
        <v>98</v>
      </c>
      <c r="G99" s="11" t="n">
        <v>46113</v>
      </c>
      <c r="H99" s="11" t="n">
        <v>46478</v>
      </c>
      <c r="I99" s="12" t="n">
        <f aca="true">IF(H99="","",H99-TODAY())</f>
        <v>171</v>
      </c>
      <c r="J99" s="10" t="s">
        <v>308</v>
      </c>
      <c r="K99" s="13" t="s">
        <v>53</v>
      </c>
      <c r="L99" s="14"/>
      <c r="M99" s="15"/>
      <c r="N99" s="16"/>
      <c r="O99" s="15"/>
      <c r="P99" s="16"/>
      <c r="Q99" s="15"/>
      <c r="R99" s="14"/>
    </row>
    <row r="100" customFormat="false" ht="15" hidden="false" customHeight="false" outlineLevel="0" collapsed="false">
      <c r="A100" s="9" t="s">
        <v>124</v>
      </c>
      <c r="B100" s="9" t="n">
        <v>12</v>
      </c>
      <c r="C100" s="10" t="s">
        <v>309</v>
      </c>
      <c r="D100" s="10" t="s">
        <v>310</v>
      </c>
      <c r="E100" s="9" t="s">
        <v>50</v>
      </c>
      <c r="F100" s="9" t="s">
        <v>63</v>
      </c>
      <c r="G100" s="11" t="n">
        <v>46113</v>
      </c>
      <c r="H100" s="11" t="n">
        <v>46478</v>
      </c>
      <c r="I100" s="12" t="n">
        <f aca="true">IF(H100="","",H100-TODAY())</f>
        <v>171</v>
      </c>
      <c r="J100" s="10"/>
      <c r="K100" s="13" t="s">
        <v>53</v>
      </c>
      <c r="L100" s="14"/>
      <c r="M100" s="15"/>
      <c r="N100" s="16"/>
      <c r="O100" s="15"/>
      <c r="P100" s="16"/>
      <c r="Q100" s="15"/>
      <c r="R100" s="14"/>
    </row>
    <row r="101" customFormat="false" ht="46.25" hidden="false" customHeight="false" outlineLevel="0" collapsed="false">
      <c r="A101" s="9" t="s">
        <v>124</v>
      </c>
      <c r="B101" s="9" t="n">
        <v>433</v>
      </c>
      <c r="C101" s="10" t="s">
        <v>311</v>
      </c>
      <c r="D101" s="10" t="s">
        <v>312</v>
      </c>
      <c r="E101" s="9" t="s">
        <v>59</v>
      </c>
      <c r="F101" s="9" t="s">
        <v>98</v>
      </c>
      <c r="G101" s="11" t="n">
        <v>46114</v>
      </c>
      <c r="H101" s="11" t="n">
        <v>46479</v>
      </c>
      <c r="I101" s="12" t="n">
        <f aca="true">IF(H101="","",H101-TODAY())</f>
        <v>172</v>
      </c>
      <c r="J101" s="10" t="s">
        <v>313</v>
      </c>
      <c r="K101" s="13" t="s">
        <v>53</v>
      </c>
      <c r="L101" s="14"/>
      <c r="M101" s="15"/>
      <c r="N101" s="16"/>
      <c r="O101" s="15"/>
      <c r="P101" s="16"/>
      <c r="Q101" s="15"/>
      <c r="R101" s="14"/>
    </row>
    <row r="102" customFormat="false" ht="23.85" hidden="false" customHeight="false" outlineLevel="0" collapsed="false">
      <c r="A102" s="9" t="s">
        <v>124</v>
      </c>
      <c r="B102" s="9" t="n">
        <v>1022</v>
      </c>
      <c r="C102" s="10" t="s">
        <v>314</v>
      </c>
      <c r="D102" s="10" t="s">
        <v>315</v>
      </c>
      <c r="E102" s="9" t="s">
        <v>59</v>
      </c>
      <c r="F102" s="9" t="s">
        <v>98</v>
      </c>
      <c r="G102" s="11" t="n">
        <v>46117</v>
      </c>
      <c r="H102" s="11" t="n">
        <v>46482</v>
      </c>
      <c r="I102" s="12" t="n">
        <f aca="true">IF(H102="","",H102-TODAY())</f>
        <v>175</v>
      </c>
      <c r="J102" s="10" t="s">
        <v>200</v>
      </c>
      <c r="K102" s="13" t="s">
        <v>53</v>
      </c>
      <c r="L102" s="14"/>
      <c r="M102" s="15"/>
      <c r="N102" s="16"/>
      <c r="O102" s="15"/>
      <c r="P102" s="16"/>
      <c r="Q102" s="15"/>
      <c r="R102" s="14"/>
    </row>
    <row r="103" customFormat="false" ht="23.85" hidden="false" customHeight="false" outlineLevel="0" collapsed="false">
      <c r="A103" s="9" t="s">
        <v>316</v>
      </c>
      <c r="B103" s="9" t="n">
        <v>405</v>
      </c>
      <c r="C103" s="10" t="s">
        <v>317</v>
      </c>
      <c r="D103" s="10" t="s">
        <v>318</v>
      </c>
      <c r="E103" s="9" t="s">
        <v>50</v>
      </c>
      <c r="F103" s="9" t="s">
        <v>98</v>
      </c>
      <c r="G103" s="11" t="n">
        <v>46125</v>
      </c>
      <c r="H103" s="11" t="n">
        <v>46490</v>
      </c>
      <c r="I103" s="12" t="n">
        <f aca="true">IF(H103="","",H103-TODAY())</f>
        <v>183</v>
      </c>
      <c r="J103" s="10"/>
      <c r="K103" s="13" t="s">
        <v>53</v>
      </c>
      <c r="L103" s="14"/>
      <c r="M103" s="15"/>
      <c r="N103" s="16"/>
      <c r="O103" s="15"/>
      <c r="P103" s="16"/>
      <c r="Q103" s="15"/>
      <c r="R103" s="14"/>
    </row>
    <row r="104" customFormat="false" ht="35.05" hidden="false" customHeight="false" outlineLevel="0" collapsed="false">
      <c r="A104" s="9" t="s">
        <v>316</v>
      </c>
      <c r="B104" s="9" t="n">
        <v>538</v>
      </c>
      <c r="C104" s="10" t="s">
        <v>319</v>
      </c>
      <c r="D104" s="10" t="s">
        <v>320</v>
      </c>
      <c r="E104" s="9" t="s">
        <v>50</v>
      </c>
      <c r="F104" s="9" t="s">
        <v>98</v>
      </c>
      <c r="G104" s="11" t="n">
        <v>46128</v>
      </c>
      <c r="H104" s="11" t="n">
        <v>46493</v>
      </c>
      <c r="I104" s="12" t="n">
        <f aca="true">IF(H104="","",H104-TODAY())</f>
        <v>186</v>
      </c>
      <c r="J104" s="10" t="s">
        <v>321</v>
      </c>
      <c r="K104" s="13" t="s">
        <v>53</v>
      </c>
      <c r="L104" s="14"/>
      <c r="M104" s="15"/>
      <c r="N104" s="16"/>
      <c r="O104" s="15"/>
      <c r="P104" s="16"/>
      <c r="Q104" s="15"/>
      <c r="R104" s="14"/>
    </row>
    <row r="105" customFormat="false" ht="23.85" hidden="false" customHeight="false" outlineLevel="0" collapsed="false">
      <c r="A105" s="9" t="s">
        <v>316</v>
      </c>
      <c r="B105" s="9" t="n">
        <v>1094</v>
      </c>
      <c r="C105" s="10" t="s">
        <v>322</v>
      </c>
      <c r="D105" s="10" t="s">
        <v>323</v>
      </c>
      <c r="E105" s="9" t="s">
        <v>59</v>
      </c>
      <c r="F105" s="9" t="s">
        <v>98</v>
      </c>
      <c r="G105" s="11" t="n">
        <v>46129</v>
      </c>
      <c r="H105" s="11" t="n">
        <v>46494</v>
      </c>
      <c r="I105" s="12" t="n">
        <f aca="true">IF(H105="","",H105-TODAY())</f>
        <v>187</v>
      </c>
      <c r="J105" s="10" t="s">
        <v>324</v>
      </c>
      <c r="K105" s="13" t="s">
        <v>53</v>
      </c>
      <c r="L105" s="14"/>
      <c r="M105" s="15"/>
      <c r="N105" s="16"/>
      <c r="O105" s="15"/>
      <c r="P105" s="16"/>
      <c r="Q105" s="15"/>
      <c r="R105" s="14"/>
    </row>
    <row r="106" customFormat="false" ht="23.85" hidden="false" customHeight="false" outlineLevel="0" collapsed="false">
      <c r="A106" s="9" t="s">
        <v>316</v>
      </c>
      <c r="B106" s="9" t="n">
        <v>890</v>
      </c>
      <c r="C106" s="10" t="s">
        <v>325</v>
      </c>
      <c r="D106" s="10" t="s">
        <v>326</v>
      </c>
      <c r="E106" s="9" t="s">
        <v>59</v>
      </c>
      <c r="F106" s="9" t="s">
        <v>98</v>
      </c>
      <c r="G106" s="11" t="n">
        <v>46129</v>
      </c>
      <c r="H106" s="11" t="n">
        <v>46494</v>
      </c>
      <c r="I106" s="12" t="n">
        <f aca="true">IF(H106="","",H106-TODAY())</f>
        <v>187</v>
      </c>
      <c r="J106" s="10" t="s">
        <v>193</v>
      </c>
      <c r="K106" s="13" t="s">
        <v>53</v>
      </c>
      <c r="L106" s="14"/>
      <c r="M106" s="15"/>
      <c r="N106" s="16"/>
      <c r="O106" s="15"/>
      <c r="P106" s="16"/>
      <c r="Q106" s="15"/>
      <c r="R106" s="14"/>
    </row>
    <row r="107" customFormat="false" ht="35.05" hidden="false" customHeight="false" outlineLevel="0" collapsed="false">
      <c r="A107" s="9" t="s">
        <v>316</v>
      </c>
      <c r="B107" s="9" t="n">
        <v>439</v>
      </c>
      <c r="C107" s="10" t="s">
        <v>327</v>
      </c>
      <c r="D107" s="10" t="s">
        <v>328</v>
      </c>
      <c r="E107" s="9" t="s">
        <v>59</v>
      </c>
      <c r="F107" s="9" t="s">
        <v>98</v>
      </c>
      <c r="G107" s="11" t="n">
        <v>46134</v>
      </c>
      <c r="H107" s="11" t="n">
        <v>46499</v>
      </c>
      <c r="I107" s="12" t="n">
        <f aca="true">IF(H107="","",H107-TODAY())</f>
        <v>192</v>
      </c>
      <c r="J107" s="10" t="s">
        <v>329</v>
      </c>
      <c r="K107" s="13" t="s">
        <v>53</v>
      </c>
      <c r="L107" s="14"/>
      <c r="M107" s="15"/>
      <c r="N107" s="16"/>
      <c r="O107" s="15"/>
      <c r="P107" s="16"/>
      <c r="Q107" s="15"/>
      <c r="R107" s="14"/>
    </row>
    <row r="108" customFormat="false" ht="35.05" hidden="false" customHeight="false" outlineLevel="0" collapsed="false">
      <c r="A108" s="9" t="s">
        <v>316</v>
      </c>
      <c r="B108" s="9" t="n">
        <v>367</v>
      </c>
      <c r="C108" s="10" t="s">
        <v>330</v>
      </c>
      <c r="D108" s="10" t="s">
        <v>331</v>
      </c>
      <c r="E108" s="9" t="s">
        <v>59</v>
      </c>
      <c r="F108" s="9" t="s">
        <v>98</v>
      </c>
      <c r="G108" s="11" t="n">
        <v>46134</v>
      </c>
      <c r="H108" s="11" t="n">
        <v>46499</v>
      </c>
      <c r="I108" s="12" t="n">
        <f aca="true">IF(H108="","",H108-TODAY())</f>
        <v>192</v>
      </c>
      <c r="J108" s="10" t="s">
        <v>332</v>
      </c>
      <c r="K108" s="13" t="s">
        <v>53</v>
      </c>
      <c r="L108" s="14"/>
      <c r="M108" s="15"/>
      <c r="N108" s="16"/>
      <c r="O108" s="15"/>
      <c r="P108" s="16"/>
      <c r="Q108" s="15"/>
      <c r="R108" s="14"/>
    </row>
    <row r="109" customFormat="false" ht="15" hidden="false" customHeight="false" outlineLevel="0" collapsed="false">
      <c r="A109" s="9" t="s">
        <v>316</v>
      </c>
      <c r="B109" s="9" t="n">
        <v>262</v>
      </c>
      <c r="C109" s="10" t="s">
        <v>333</v>
      </c>
      <c r="D109" s="10" t="s">
        <v>334</v>
      </c>
      <c r="E109" s="9" t="s">
        <v>59</v>
      </c>
      <c r="F109" s="9" t="s">
        <v>63</v>
      </c>
      <c r="G109" s="11" t="n">
        <v>46134</v>
      </c>
      <c r="H109" s="11" t="n">
        <v>46499</v>
      </c>
      <c r="I109" s="12" t="n">
        <f aca="true">IF(H109="","",H109-TODAY())</f>
        <v>192</v>
      </c>
      <c r="J109" s="10" t="s">
        <v>335</v>
      </c>
      <c r="K109" s="13" t="s">
        <v>53</v>
      </c>
      <c r="L109" s="14"/>
      <c r="M109" s="15"/>
      <c r="N109" s="16"/>
      <c r="O109" s="15"/>
      <c r="P109" s="16"/>
      <c r="Q109" s="15"/>
      <c r="R109" s="14"/>
    </row>
    <row r="110" customFormat="false" ht="15" hidden="false" customHeight="false" outlineLevel="0" collapsed="false">
      <c r="A110" s="9" t="s">
        <v>316</v>
      </c>
      <c r="B110" s="9" t="n">
        <v>813</v>
      </c>
      <c r="C110" s="10" t="s">
        <v>336</v>
      </c>
      <c r="D110" s="10" t="s">
        <v>337</v>
      </c>
      <c r="E110" s="9" t="s">
        <v>59</v>
      </c>
      <c r="F110" s="9" t="s">
        <v>98</v>
      </c>
      <c r="G110" s="11" t="n">
        <v>46143</v>
      </c>
      <c r="H110" s="11" t="n">
        <v>46508</v>
      </c>
      <c r="I110" s="12" t="n">
        <f aca="true">IF(H110="","",H110-TODAY())</f>
        <v>201</v>
      </c>
      <c r="J110" s="10" t="s">
        <v>338</v>
      </c>
      <c r="K110" s="13" t="s">
        <v>53</v>
      </c>
      <c r="L110" s="14"/>
      <c r="M110" s="15"/>
      <c r="N110" s="16"/>
      <c r="O110" s="15"/>
      <c r="P110" s="16"/>
      <c r="Q110" s="15"/>
      <c r="R110" s="14"/>
    </row>
    <row r="111" customFormat="false" ht="23.85" hidden="false" customHeight="false" outlineLevel="0" collapsed="false">
      <c r="A111" s="9" t="s">
        <v>316</v>
      </c>
      <c r="B111" s="9" t="n">
        <v>891</v>
      </c>
      <c r="C111" s="10" t="s">
        <v>339</v>
      </c>
      <c r="D111" s="10" t="s">
        <v>177</v>
      </c>
      <c r="E111" s="9" t="s">
        <v>59</v>
      </c>
      <c r="F111" s="9" t="s">
        <v>98</v>
      </c>
      <c r="G111" s="11" t="n">
        <v>46148</v>
      </c>
      <c r="H111" s="11" t="n">
        <v>46513</v>
      </c>
      <c r="I111" s="12" t="n">
        <f aca="true">IF(H111="","",H111-TODAY())</f>
        <v>206</v>
      </c>
      <c r="J111" s="10"/>
      <c r="K111" s="13" t="s">
        <v>53</v>
      </c>
      <c r="L111" s="14"/>
      <c r="M111" s="15"/>
      <c r="N111" s="16"/>
      <c r="O111" s="15"/>
      <c r="P111" s="16"/>
      <c r="Q111" s="15"/>
      <c r="R111" s="14"/>
    </row>
    <row r="112" customFormat="false" ht="23.85" hidden="false" customHeight="false" outlineLevel="0" collapsed="false">
      <c r="A112" s="9" t="s">
        <v>316</v>
      </c>
      <c r="B112" s="9" t="n">
        <v>1099</v>
      </c>
      <c r="C112" s="10" t="s">
        <v>340</v>
      </c>
      <c r="D112" s="10" t="s">
        <v>341</v>
      </c>
      <c r="E112" s="9" t="s">
        <v>50</v>
      </c>
      <c r="F112" s="9" t="s">
        <v>63</v>
      </c>
      <c r="G112" s="11" t="n">
        <v>46150</v>
      </c>
      <c r="H112" s="11" t="n">
        <v>46515</v>
      </c>
      <c r="I112" s="12" t="n">
        <f aca="true">IF(H112="","",H112-TODAY())</f>
        <v>208</v>
      </c>
      <c r="J112" s="10" t="s">
        <v>235</v>
      </c>
      <c r="K112" s="13" t="s">
        <v>53</v>
      </c>
      <c r="L112" s="14"/>
      <c r="M112" s="15"/>
      <c r="N112" s="16"/>
      <c r="O112" s="15"/>
      <c r="P112" s="16"/>
      <c r="Q112" s="15"/>
      <c r="R112" s="14"/>
    </row>
    <row r="113" customFormat="false" ht="23.85" hidden="false" customHeight="false" outlineLevel="0" collapsed="false">
      <c r="A113" s="9" t="s">
        <v>316</v>
      </c>
      <c r="B113" s="9" t="n">
        <v>705</v>
      </c>
      <c r="C113" s="10" t="s">
        <v>342</v>
      </c>
      <c r="D113" s="10" t="s">
        <v>343</v>
      </c>
      <c r="E113" s="9" t="s">
        <v>50</v>
      </c>
      <c r="F113" s="9" t="s">
        <v>98</v>
      </c>
      <c r="G113" s="11" t="n">
        <v>46150</v>
      </c>
      <c r="H113" s="11" t="n">
        <v>46515</v>
      </c>
      <c r="I113" s="12" t="n">
        <f aca="true">IF(H113="","",H113-TODAY())</f>
        <v>208</v>
      </c>
      <c r="J113" s="10" t="s">
        <v>344</v>
      </c>
      <c r="K113" s="13" t="s">
        <v>53</v>
      </c>
      <c r="L113" s="14"/>
      <c r="M113" s="15"/>
      <c r="N113" s="16"/>
      <c r="O113" s="15"/>
      <c r="P113" s="16"/>
      <c r="Q113" s="15"/>
      <c r="R113" s="14"/>
    </row>
    <row r="114" customFormat="false" ht="35.05" hidden="false" customHeight="false" outlineLevel="0" collapsed="false">
      <c r="A114" s="9" t="s">
        <v>316</v>
      </c>
      <c r="B114" s="9" t="n">
        <v>441</v>
      </c>
      <c r="C114" s="10" t="s">
        <v>345</v>
      </c>
      <c r="D114" s="10" t="s">
        <v>331</v>
      </c>
      <c r="E114" s="9" t="s">
        <v>59</v>
      </c>
      <c r="F114" s="9" t="s">
        <v>98</v>
      </c>
      <c r="G114" s="11" t="n">
        <v>46155</v>
      </c>
      <c r="H114" s="11" t="n">
        <v>46520</v>
      </c>
      <c r="I114" s="12" t="n">
        <f aca="true">IF(H114="","",H114-TODAY())</f>
        <v>213</v>
      </c>
      <c r="J114" s="10" t="s">
        <v>346</v>
      </c>
      <c r="K114" s="13" t="s">
        <v>53</v>
      </c>
      <c r="L114" s="14"/>
      <c r="M114" s="15"/>
      <c r="N114" s="16"/>
      <c r="O114" s="15"/>
      <c r="P114" s="16"/>
      <c r="Q114" s="15"/>
      <c r="R114" s="14"/>
    </row>
    <row r="115" customFormat="false" ht="23.85" hidden="false" customHeight="false" outlineLevel="0" collapsed="false">
      <c r="A115" s="9" t="s">
        <v>316</v>
      </c>
      <c r="B115" s="9" t="n">
        <v>1101</v>
      </c>
      <c r="C115" s="10" t="s">
        <v>347</v>
      </c>
      <c r="D115" s="10" t="s">
        <v>348</v>
      </c>
      <c r="E115" s="9" t="s">
        <v>59</v>
      </c>
      <c r="F115" s="9" t="s">
        <v>98</v>
      </c>
      <c r="G115" s="11" t="n">
        <v>46156</v>
      </c>
      <c r="H115" s="11" t="n">
        <v>46521</v>
      </c>
      <c r="I115" s="12" t="n">
        <f aca="true">IF(H115="","",H115-TODAY())</f>
        <v>214</v>
      </c>
      <c r="J115" s="10" t="s">
        <v>349</v>
      </c>
      <c r="K115" s="13" t="s">
        <v>53</v>
      </c>
      <c r="L115" s="14"/>
      <c r="M115" s="15"/>
      <c r="N115" s="16"/>
      <c r="O115" s="15"/>
      <c r="P115" s="16"/>
      <c r="Q115" s="15"/>
      <c r="R115" s="14"/>
    </row>
    <row r="116" customFormat="false" ht="23.85" hidden="false" customHeight="false" outlineLevel="0" collapsed="false">
      <c r="A116" s="9" t="s">
        <v>316</v>
      </c>
      <c r="B116" s="9" t="n">
        <v>732</v>
      </c>
      <c r="C116" s="10" t="s">
        <v>350</v>
      </c>
      <c r="D116" s="10" t="s">
        <v>351</v>
      </c>
      <c r="E116" s="9" t="s">
        <v>59</v>
      </c>
      <c r="F116" s="9" t="s">
        <v>98</v>
      </c>
      <c r="G116" s="11" t="n">
        <v>46157</v>
      </c>
      <c r="H116" s="11" t="n">
        <v>46522</v>
      </c>
      <c r="I116" s="12" t="n">
        <f aca="true">IF(H116="","",H116-TODAY())</f>
        <v>215</v>
      </c>
      <c r="J116" s="10" t="s">
        <v>352</v>
      </c>
      <c r="K116" s="13" t="s">
        <v>53</v>
      </c>
      <c r="L116" s="14"/>
      <c r="M116" s="15"/>
      <c r="N116" s="16"/>
      <c r="O116" s="15"/>
      <c r="P116" s="16"/>
      <c r="Q116" s="15"/>
      <c r="R116" s="14"/>
    </row>
    <row r="117" customFormat="false" ht="23.85" hidden="false" customHeight="false" outlineLevel="0" collapsed="false">
      <c r="A117" s="9" t="s">
        <v>316</v>
      </c>
      <c r="B117" s="9" t="n">
        <v>370</v>
      </c>
      <c r="C117" s="10" t="s">
        <v>353</v>
      </c>
      <c r="D117" s="10" t="s">
        <v>354</v>
      </c>
      <c r="E117" s="9" t="s">
        <v>59</v>
      </c>
      <c r="F117" s="9" t="s">
        <v>51</v>
      </c>
      <c r="G117" s="11" t="n">
        <v>46157</v>
      </c>
      <c r="H117" s="11" t="n">
        <v>46522</v>
      </c>
      <c r="I117" s="12" t="n">
        <f aca="true">IF(H117="","",H117-TODAY())</f>
        <v>215</v>
      </c>
      <c r="J117" s="10" t="s">
        <v>355</v>
      </c>
      <c r="K117" s="13" t="s">
        <v>53</v>
      </c>
      <c r="L117" s="14"/>
      <c r="M117" s="15"/>
      <c r="N117" s="16"/>
      <c r="O117" s="15"/>
      <c r="P117" s="16"/>
      <c r="Q117" s="15"/>
      <c r="R117" s="14"/>
    </row>
    <row r="118" customFormat="false" ht="15" hidden="false" customHeight="false" outlineLevel="0" collapsed="false">
      <c r="A118" s="9" t="s">
        <v>316</v>
      </c>
      <c r="B118" s="9" t="n">
        <v>349</v>
      </c>
      <c r="C118" s="10" t="s">
        <v>356</v>
      </c>
      <c r="D118" s="10" t="s">
        <v>357</v>
      </c>
      <c r="E118" s="9" t="s">
        <v>59</v>
      </c>
      <c r="F118" s="9" t="s">
        <v>98</v>
      </c>
      <c r="G118" s="11" t="n">
        <v>46157</v>
      </c>
      <c r="H118" s="11" t="n">
        <v>46522</v>
      </c>
      <c r="I118" s="12" t="n">
        <f aca="true">IF(H118="","",H118-TODAY())</f>
        <v>215</v>
      </c>
      <c r="J118" s="10" t="s">
        <v>358</v>
      </c>
      <c r="K118" s="13" t="s">
        <v>53</v>
      </c>
      <c r="L118" s="14"/>
      <c r="M118" s="15"/>
      <c r="N118" s="16"/>
      <c r="O118" s="15"/>
      <c r="P118" s="16"/>
      <c r="Q118" s="15"/>
      <c r="R118" s="14"/>
    </row>
    <row r="119" customFormat="false" ht="23.85" hidden="false" customHeight="false" outlineLevel="0" collapsed="false">
      <c r="A119" s="9" t="s">
        <v>316</v>
      </c>
      <c r="B119" s="9" t="n">
        <v>637</v>
      </c>
      <c r="C119" s="10" t="s">
        <v>359</v>
      </c>
      <c r="D119" s="10" t="s">
        <v>360</v>
      </c>
      <c r="E119" s="9" t="s">
        <v>59</v>
      </c>
      <c r="F119" s="9" t="s">
        <v>98</v>
      </c>
      <c r="G119" s="11" t="n">
        <v>46157</v>
      </c>
      <c r="H119" s="11" t="n">
        <v>46522</v>
      </c>
      <c r="I119" s="12" t="n">
        <f aca="true">IF(H119="","",H119-TODAY())</f>
        <v>215</v>
      </c>
      <c r="J119" s="10" t="s">
        <v>361</v>
      </c>
      <c r="K119" s="13" t="s">
        <v>53</v>
      </c>
      <c r="L119" s="14"/>
      <c r="M119" s="15"/>
      <c r="N119" s="16"/>
      <c r="O119" s="15"/>
      <c r="P119" s="16"/>
      <c r="Q119" s="15"/>
      <c r="R119" s="14"/>
    </row>
    <row r="120" customFormat="false" ht="35.05" hidden="false" customHeight="false" outlineLevel="0" collapsed="false">
      <c r="A120" s="9" t="s">
        <v>316</v>
      </c>
      <c r="B120" s="9" t="n">
        <v>362</v>
      </c>
      <c r="C120" s="10" t="s">
        <v>362</v>
      </c>
      <c r="D120" s="10" t="s">
        <v>331</v>
      </c>
      <c r="E120" s="9" t="s">
        <v>50</v>
      </c>
      <c r="F120" s="9" t="s">
        <v>98</v>
      </c>
      <c r="G120" s="11" t="n">
        <v>46162</v>
      </c>
      <c r="H120" s="11" t="n">
        <v>46527</v>
      </c>
      <c r="I120" s="12" t="n">
        <f aca="true">IF(H120="","",H120-TODAY())</f>
        <v>220</v>
      </c>
      <c r="J120" s="10" t="s">
        <v>235</v>
      </c>
      <c r="K120" s="13" t="s">
        <v>53</v>
      </c>
      <c r="L120" s="14"/>
      <c r="M120" s="15"/>
      <c r="N120" s="16"/>
      <c r="O120" s="15"/>
      <c r="P120" s="16"/>
      <c r="Q120" s="15"/>
      <c r="R120" s="14"/>
    </row>
    <row r="121" customFormat="false" ht="23.85" hidden="false" customHeight="false" outlineLevel="0" collapsed="false">
      <c r="A121" s="9" t="s">
        <v>316</v>
      </c>
      <c r="B121" s="9" t="n">
        <v>360</v>
      </c>
      <c r="C121" s="10" t="s">
        <v>363</v>
      </c>
      <c r="D121" s="10" t="s">
        <v>364</v>
      </c>
      <c r="E121" s="9" t="s">
        <v>50</v>
      </c>
      <c r="F121" s="9" t="s">
        <v>365</v>
      </c>
      <c r="G121" s="11" t="n">
        <v>46164</v>
      </c>
      <c r="H121" s="11" t="n">
        <v>46529</v>
      </c>
      <c r="I121" s="12" t="n">
        <f aca="true">IF(H121="","",H121-TODAY())</f>
        <v>222</v>
      </c>
      <c r="J121" s="10"/>
      <c r="K121" s="13" t="s">
        <v>53</v>
      </c>
      <c r="L121" s="14"/>
      <c r="M121" s="15"/>
      <c r="N121" s="16"/>
      <c r="O121" s="15"/>
      <c r="P121" s="16"/>
      <c r="Q121" s="15"/>
      <c r="R121" s="14"/>
    </row>
    <row r="122" customFormat="false" ht="23.85" hidden="false" customHeight="false" outlineLevel="0" collapsed="false">
      <c r="A122" s="9" t="s">
        <v>316</v>
      </c>
      <c r="B122" s="9" t="n">
        <v>1096</v>
      </c>
      <c r="C122" s="10" t="s">
        <v>366</v>
      </c>
      <c r="D122" s="10" t="s">
        <v>367</v>
      </c>
      <c r="E122" s="9" t="s">
        <v>59</v>
      </c>
      <c r="F122" s="9" t="s">
        <v>98</v>
      </c>
      <c r="G122" s="11" t="n">
        <v>45806</v>
      </c>
      <c r="H122" s="11" t="n">
        <v>46536</v>
      </c>
      <c r="I122" s="12" t="n">
        <f aca="true">IF(H122="","",H122-TODAY())</f>
        <v>229</v>
      </c>
      <c r="J122" s="10" t="s">
        <v>368</v>
      </c>
      <c r="K122" s="13" t="s">
        <v>53</v>
      </c>
      <c r="L122" s="14"/>
      <c r="M122" s="15"/>
      <c r="N122" s="16"/>
      <c r="O122" s="15"/>
      <c r="P122" s="16"/>
      <c r="Q122" s="15"/>
      <c r="R122" s="14"/>
    </row>
    <row r="123" customFormat="false" ht="23.85" hidden="false" customHeight="false" outlineLevel="0" collapsed="false">
      <c r="A123" s="9" t="s">
        <v>316</v>
      </c>
      <c r="B123" s="9" t="n">
        <v>366</v>
      </c>
      <c r="C123" s="10" t="s">
        <v>369</v>
      </c>
      <c r="D123" s="10" t="s">
        <v>370</v>
      </c>
      <c r="E123" s="9" t="s">
        <v>59</v>
      </c>
      <c r="F123" s="9" t="s">
        <v>63</v>
      </c>
      <c r="G123" s="11" t="n">
        <v>46173</v>
      </c>
      <c r="H123" s="11" t="n">
        <v>46538</v>
      </c>
      <c r="I123" s="12" t="n">
        <f aca="true">IF(H123="","",H123-TODAY())</f>
        <v>231</v>
      </c>
      <c r="J123" s="10" t="s">
        <v>371</v>
      </c>
      <c r="K123" s="13" t="s">
        <v>53</v>
      </c>
      <c r="L123" s="14"/>
      <c r="M123" s="15"/>
      <c r="N123" s="16"/>
      <c r="O123" s="15"/>
      <c r="P123" s="16"/>
      <c r="Q123" s="15"/>
      <c r="R123" s="14"/>
    </row>
    <row r="124" customFormat="false" ht="35.05" hidden="false" customHeight="false" outlineLevel="0" collapsed="false">
      <c r="A124" s="9" t="s">
        <v>316</v>
      </c>
      <c r="B124" s="9" t="n">
        <v>378</v>
      </c>
      <c r="C124" s="10" t="s">
        <v>372</v>
      </c>
      <c r="D124" s="10" t="s">
        <v>373</v>
      </c>
      <c r="E124" s="9" t="s">
        <v>59</v>
      </c>
      <c r="F124" s="9" t="s">
        <v>98</v>
      </c>
      <c r="G124" s="11" t="n">
        <v>46173</v>
      </c>
      <c r="H124" s="11" t="n">
        <v>46538</v>
      </c>
      <c r="I124" s="12" t="n">
        <f aca="true">IF(H124="","",H124-TODAY())</f>
        <v>231</v>
      </c>
      <c r="J124" s="10" t="s">
        <v>374</v>
      </c>
      <c r="K124" s="13" t="s">
        <v>53</v>
      </c>
      <c r="L124" s="14"/>
      <c r="M124" s="15"/>
      <c r="N124" s="16"/>
      <c r="O124" s="15"/>
      <c r="P124" s="16"/>
      <c r="Q124" s="15"/>
      <c r="R124" s="14"/>
    </row>
    <row r="125" customFormat="false" ht="23.85" hidden="false" customHeight="false" outlineLevel="0" collapsed="false">
      <c r="A125" s="9" t="s">
        <v>316</v>
      </c>
      <c r="B125" s="9" t="n">
        <v>1116</v>
      </c>
      <c r="C125" s="10" t="s">
        <v>375</v>
      </c>
      <c r="D125" s="10" t="s">
        <v>376</v>
      </c>
      <c r="E125" s="9" t="s">
        <v>59</v>
      </c>
      <c r="F125" s="9" t="s">
        <v>51</v>
      </c>
      <c r="G125" s="11" t="n">
        <v>46174</v>
      </c>
      <c r="H125" s="11" t="n">
        <v>46539</v>
      </c>
      <c r="I125" s="12" t="n">
        <f aca="true">IF(H125="","",H125-TODAY())</f>
        <v>232</v>
      </c>
      <c r="J125" s="10" t="s">
        <v>377</v>
      </c>
      <c r="K125" s="13" t="s">
        <v>53</v>
      </c>
      <c r="L125" s="14"/>
      <c r="M125" s="15"/>
      <c r="N125" s="16"/>
      <c r="O125" s="15"/>
      <c r="P125" s="16"/>
      <c r="Q125" s="15"/>
      <c r="R125" s="14"/>
    </row>
    <row r="126" customFormat="false" ht="23.85" hidden="false" customHeight="false" outlineLevel="0" collapsed="false">
      <c r="A126" s="9" t="s">
        <v>316</v>
      </c>
      <c r="B126" s="9" t="n">
        <v>978</v>
      </c>
      <c r="C126" s="10" t="s">
        <v>378</v>
      </c>
      <c r="D126" s="10" t="s">
        <v>364</v>
      </c>
      <c r="E126" s="9" t="s">
        <v>59</v>
      </c>
      <c r="F126" s="9" t="s">
        <v>63</v>
      </c>
      <c r="G126" s="11" t="n">
        <v>46175</v>
      </c>
      <c r="H126" s="11" t="n">
        <v>46540</v>
      </c>
      <c r="I126" s="12" t="n">
        <f aca="true">IF(H126="","",H126-TODAY())</f>
        <v>233</v>
      </c>
      <c r="J126" s="10" t="s">
        <v>379</v>
      </c>
      <c r="K126" s="13" t="s">
        <v>53</v>
      </c>
      <c r="L126" s="14"/>
      <c r="M126" s="15"/>
      <c r="N126" s="16"/>
      <c r="O126" s="15"/>
      <c r="P126" s="16"/>
      <c r="Q126" s="15"/>
      <c r="R126" s="14"/>
    </row>
    <row r="127" customFormat="false" ht="15" hidden="false" customHeight="false" outlineLevel="0" collapsed="false">
      <c r="A127" s="9" t="s">
        <v>316</v>
      </c>
      <c r="B127" s="9" t="n">
        <v>1109</v>
      </c>
      <c r="C127" s="10" t="s">
        <v>380</v>
      </c>
      <c r="D127" s="10" t="s">
        <v>380</v>
      </c>
      <c r="E127" s="9" t="s">
        <v>59</v>
      </c>
      <c r="F127" s="9" t="s">
        <v>365</v>
      </c>
      <c r="G127" s="11" t="n">
        <v>45810</v>
      </c>
      <c r="H127" s="11" t="n">
        <v>46540</v>
      </c>
      <c r="I127" s="12" t="n">
        <f aca="true">IF(H127="","",H127-TODAY())</f>
        <v>233</v>
      </c>
      <c r="J127" s="10"/>
      <c r="K127" s="13" t="s">
        <v>53</v>
      </c>
      <c r="L127" s="14"/>
      <c r="M127" s="15"/>
      <c r="N127" s="16"/>
      <c r="O127" s="15"/>
      <c r="P127" s="16"/>
      <c r="Q127" s="15"/>
      <c r="R127" s="14"/>
    </row>
    <row r="128" customFormat="false" ht="35.05" hidden="false" customHeight="false" outlineLevel="0" collapsed="false">
      <c r="A128" s="9" t="s">
        <v>316</v>
      </c>
      <c r="B128" s="9" t="n">
        <v>329</v>
      </c>
      <c r="C128" s="10" t="s">
        <v>381</v>
      </c>
      <c r="D128" s="10" t="s">
        <v>382</v>
      </c>
      <c r="E128" s="9" t="s">
        <v>50</v>
      </c>
      <c r="F128" s="9" t="s">
        <v>365</v>
      </c>
      <c r="G128" s="11" t="n">
        <v>46176</v>
      </c>
      <c r="H128" s="11" t="n">
        <v>46541</v>
      </c>
      <c r="I128" s="12" t="n">
        <f aca="true">IF(H128="","",H128-TODAY())</f>
        <v>234</v>
      </c>
      <c r="J128" s="10" t="s">
        <v>383</v>
      </c>
      <c r="K128" s="13" t="s">
        <v>53</v>
      </c>
      <c r="L128" s="14"/>
      <c r="M128" s="15"/>
      <c r="N128" s="16"/>
      <c r="O128" s="15"/>
      <c r="P128" s="16"/>
      <c r="Q128" s="15"/>
      <c r="R128" s="14"/>
    </row>
    <row r="129" customFormat="false" ht="15" hidden="false" customHeight="false" outlineLevel="0" collapsed="false">
      <c r="A129" s="9" t="s">
        <v>316</v>
      </c>
      <c r="B129" s="9" t="n">
        <v>359</v>
      </c>
      <c r="C129" s="10" t="s">
        <v>384</v>
      </c>
      <c r="D129" s="10" t="s">
        <v>385</v>
      </c>
      <c r="E129" s="9" t="s">
        <v>50</v>
      </c>
      <c r="F129" s="9" t="s">
        <v>365</v>
      </c>
      <c r="G129" s="11" t="n">
        <v>46180</v>
      </c>
      <c r="H129" s="11" t="n">
        <v>46545</v>
      </c>
      <c r="I129" s="12" t="n">
        <f aca="true">IF(H129="","",H129-TODAY())</f>
        <v>238</v>
      </c>
      <c r="J129" s="10" t="s">
        <v>187</v>
      </c>
      <c r="K129" s="13" t="s">
        <v>53</v>
      </c>
      <c r="L129" s="14"/>
      <c r="M129" s="15"/>
      <c r="N129" s="16"/>
      <c r="O129" s="15"/>
      <c r="P129" s="16"/>
      <c r="Q129" s="15"/>
      <c r="R129" s="14"/>
    </row>
    <row r="130" customFormat="false" ht="23.85" hidden="false" customHeight="false" outlineLevel="0" collapsed="false">
      <c r="A130" s="9" t="s">
        <v>316</v>
      </c>
      <c r="B130" s="9" t="n">
        <v>278</v>
      </c>
      <c r="C130" s="10" t="s">
        <v>386</v>
      </c>
      <c r="D130" s="10" t="s">
        <v>387</v>
      </c>
      <c r="E130" s="9" t="s">
        <v>59</v>
      </c>
      <c r="F130" s="9" t="s">
        <v>63</v>
      </c>
      <c r="G130" s="11" t="n">
        <v>46181</v>
      </c>
      <c r="H130" s="11" t="n">
        <v>46546</v>
      </c>
      <c r="I130" s="12" t="n">
        <f aca="true">IF(H130="","",H130-TODAY())</f>
        <v>239</v>
      </c>
      <c r="J130" s="10" t="s">
        <v>388</v>
      </c>
      <c r="K130" s="13" t="s">
        <v>53</v>
      </c>
      <c r="L130" s="14"/>
      <c r="M130" s="15"/>
      <c r="N130" s="16"/>
      <c r="O130" s="15"/>
      <c r="P130" s="16"/>
      <c r="Q130" s="15"/>
      <c r="R130" s="14"/>
    </row>
    <row r="131" customFormat="false" ht="23.85" hidden="false" customHeight="false" outlineLevel="0" collapsed="false">
      <c r="A131" s="9" t="s">
        <v>316</v>
      </c>
      <c r="B131" s="9" t="n">
        <v>24</v>
      </c>
      <c r="C131" s="10" t="s">
        <v>389</v>
      </c>
      <c r="D131" s="10" t="s">
        <v>390</v>
      </c>
      <c r="E131" s="9" t="s">
        <v>50</v>
      </c>
      <c r="F131" s="9" t="s">
        <v>98</v>
      </c>
      <c r="G131" s="11" t="n">
        <v>46183</v>
      </c>
      <c r="H131" s="11" t="n">
        <v>46548</v>
      </c>
      <c r="I131" s="12" t="n">
        <f aca="true">IF(H131="","",H131-TODAY())</f>
        <v>241</v>
      </c>
      <c r="J131" s="10" t="s">
        <v>391</v>
      </c>
      <c r="K131" s="13" t="s">
        <v>53</v>
      </c>
      <c r="L131" s="14"/>
      <c r="M131" s="15"/>
      <c r="N131" s="16"/>
      <c r="O131" s="15"/>
      <c r="P131" s="16"/>
      <c r="Q131" s="15"/>
      <c r="R131" s="14"/>
    </row>
    <row r="132" customFormat="false" ht="23.85" hidden="false" customHeight="false" outlineLevel="0" collapsed="false">
      <c r="A132" s="9" t="s">
        <v>316</v>
      </c>
      <c r="B132" s="9" t="n">
        <v>84</v>
      </c>
      <c r="C132" s="10" t="s">
        <v>392</v>
      </c>
      <c r="D132" s="10" t="s">
        <v>393</v>
      </c>
      <c r="E132" s="9" t="s">
        <v>50</v>
      </c>
      <c r="F132" s="9" t="s">
        <v>365</v>
      </c>
      <c r="G132" s="11" t="n">
        <v>46185</v>
      </c>
      <c r="H132" s="11" t="n">
        <v>46550</v>
      </c>
      <c r="I132" s="12" t="n">
        <f aca="true">IF(H132="","",H132-TODAY())</f>
        <v>243</v>
      </c>
      <c r="J132" s="10"/>
      <c r="K132" s="13" t="s">
        <v>53</v>
      </c>
      <c r="L132" s="14"/>
      <c r="M132" s="15"/>
      <c r="N132" s="16"/>
      <c r="O132" s="15"/>
      <c r="P132" s="16"/>
      <c r="Q132" s="15"/>
      <c r="R132" s="14"/>
    </row>
    <row r="133" customFormat="false" ht="23.85" hidden="false" customHeight="false" outlineLevel="0" collapsed="false">
      <c r="A133" s="9" t="s">
        <v>316</v>
      </c>
      <c r="B133" s="9" t="n">
        <v>364</v>
      </c>
      <c r="C133" s="10" t="s">
        <v>394</v>
      </c>
      <c r="D133" s="10" t="s">
        <v>395</v>
      </c>
      <c r="E133" s="9" t="s">
        <v>59</v>
      </c>
      <c r="F133" s="9" t="s">
        <v>98</v>
      </c>
      <c r="G133" s="11" t="n">
        <v>46186</v>
      </c>
      <c r="H133" s="11" t="n">
        <v>46551</v>
      </c>
      <c r="I133" s="12" t="n">
        <f aca="true">IF(H133="","",H133-TODAY())</f>
        <v>244</v>
      </c>
      <c r="J133" s="10" t="s">
        <v>396</v>
      </c>
      <c r="K133" s="13" t="s">
        <v>53</v>
      </c>
      <c r="L133" s="14"/>
      <c r="M133" s="15"/>
      <c r="N133" s="16"/>
      <c r="O133" s="15"/>
      <c r="P133" s="16"/>
      <c r="Q133" s="15"/>
      <c r="R133" s="14"/>
    </row>
    <row r="134" customFormat="false" ht="23.85" hidden="false" customHeight="false" outlineLevel="0" collapsed="false">
      <c r="A134" s="9" t="s">
        <v>316</v>
      </c>
      <c r="B134" s="9" t="n">
        <v>921</v>
      </c>
      <c r="C134" s="10" t="s">
        <v>397</v>
      </c>
      <c r="D134" s="10" t="s">
        <v>398</v>
      </c>
      <c r="E134" s="9" t="s">
        <v>50</v>
      </c>
      <c r="F134" s="9" t="s">
        <v>365</v>
      </c>
      <c r="G134" s="11" t="n">
        <v>46188</v>
      </c>
      <c r="H134" s="11" t="n">
        <v>46553</v>
      </c>
      <c r="I134" s="12" t="n">
        <f aca="true">IF(H134="","",H134-TODAY())</f>
        <v>246</v>
      </c>
      <c r="J134" s="10" t="s">
        <v>399</v>
      </c>
      <c r="K134" s="13" t="s">
        <v>53</v>
      </c>
      <c r="L134" s="14"/>
      <c r="M134" s="15"/>
      <c r="N134" s="16"/>
      <c r="O134" s="15"/>
      <c r="P134" s="16"/>
      <c r="Q134" s="15"/>
      <c r="R134" s="14"/>
    </row>
    <row r="135" customFormat="false" ht="23.85" hidden="false" customHeight="false" outlineLevel="0" collapsed="false">
      <c r="A135" s="9" t="s">
        <v>316</v>
      </c>
      <c r="B135" s="9" t="n">
        <v>544</v>
      </c>
      <c r="C135" s="10" t="s">
        <v>400</v>
      </c>
      <c r="D135" s="10" t="s">
        <v>401</v>
      </c>
      <c r="E135" s="9" t="s">
        <v>50</v>
      </c>
      <c r="F135" s="9" t="s">
        <v>98</v>
      </c>
      <c r="G135" s="11" t="n">
        <v>45823</v>
      </c>
      <c r="H135" s="11" t="n">
        <v>46553</v>
      </c>
      <c r="I135" s="12" t="n">
        <f aca="true">IF(H135="","",H135-TODAY())</f>
        <v>246</v>
      </c>
      <c r="J135" s="10"/>
      <c r="K135" s="13" t="s">
        <v>53</v>
      </c>
      <c r="L135" s="14"/>
      <c r="M135" s="15"/>
      <c r="N135" s="16"/>
      <c r="O135" s="15"/>
      <c r="P135" s="16"/>
      <c r="Q135" s="15"/>
      <c r="R135" s="14"/>
    </row>
    <row r="136" customFormat="false" ht="35.05" hidden="false" customHeight="false" outlineLevel="0" collapsed="false">
      <c r="A136" s="9" t="s">
        <v>316</v>
      </c>
      <c r="B136" s="9" t="n">
        <v>161</v>
      </c>
      <c r="C136" s="10" t="s">
        <v>402</v>
      </c>
      <c r="D136" s="10" t="s">
        <v>403</v>
      </c>
      <c r="E136" s="9" t="s">
        <v>50</v>
      </c>
      <c r="F136" s="9" t="s">
        <v>98</v>
      </c>
      <c r="G136" s="11" t="n">
        <v>46193</v>
      </c>
      <c r="H136" s="11" t="n">
        <v>46558</v>
      </c>
      <c r="I136" s="12" t="n">
        <f aca="true">IF(H136="","",H136-TODAY())</f>
        <v>251</v>
      </c>
      <c r="J136" s="10" t="s">
        <v>404</v>
      </c>
      <c r="K136" s="13" t="s">
        <v>53</v>
      </c>
      <c r="L136" s="14"/>
      <c r="M136" s="15"/>
      <c r="N136" s="16"/>
      <c r="O136" s="15"/>
      <c r="P136" s="16"/>
      <c r="Q136" s="15"/>
      <c r="R136" s="14"/>
    </row>
    <row r="137" customFormat="false" ht="35.05" hidden="false" customHeight="false" outlineLevel="0" collapsed="false">
      <c r="A137" s="9" t="s">
        <v>316</v>
      </c>
      <c r="B137" s="9" t="n">
        <v>730</v>
      </c>
      <c r="C137" s="10" t="s">
        <v>405</v>
      </c>
      <c r="D137" s="10" t="s">
        <v>406</v>
      </c>
      <c r="E137" s="9" t="s">
        <v>59</v>
      </c>
      <c r="F137" s="9" t="s">
        <v>63</v>
      </c>
      <c r="G137" s="11" t="n">
        <v>46204</v>
      </c>
      <c r="H137" s="11" t="n">
        <v>46569</v>
      </c>
      <c r="I137" s="12" t="n">
        <f aca="true">IF(H137="","",H137-TODAY())</f>
        <v>262</v>
      </c>
      <c r="J137" s="10" t="s">
        <v>407</v>
      </c>
      <c r="K137" s="13" t="s">
        <v>53</v>
      </c>
      <c r="L137" s="14"/>
      <c r="M137" s="15"/>
      <c r="N137" s="16"/>
      <c r="O137" s="15"/>
      <c r="P137" s="16"/>
      <c r="Q137" s="15"/>
      <c r="R137" s="14"/>
    </row>
    <row r="138" customFormat="false" ht="35.05" hidden="false" customHeight="false" outlineLevel="0" collapsed="false">
      <c r="A138" s="9" t="s">
        <v>316</v>
      </c>
      <c r="B138" s="9" t="n">
        <v>669</v>
      </c>
      <c r="C138" s="10" t="s">
        <v>408</v>
      </c>
      <c r="D138" s="10" t="s">
        <v>409</v>
      </c>
      <c r="E138" s="9" t="s">
        <v>59</v>
      </c>
      <c r="F138" s="9" t="s">
        <v>98</v>
      </c>
      <c r="G138" s="11" t="n">
        <v>46204</v>
      </c>
      <c r="H138" s="11" t="n">
        <v>46569</v>
      </c>
      <c r="I138" s="12" t="n">
        <f aca="true">IF(H138="","",H138-TODAY())</f>
        <v>262</v>
      </c>
      <c r="J138" s="10" t="s">
        <v>410</v>
      </c>
      <c r="K138" s="13" t="s">
        <v>53</v>
      </c>
      <c r="L138" s="14"/>
      <c r="M138" s="15"/>
      <c r="N138" s="16"/>
      <c r="O138" s="15"/>
      <c r="P138" s="16"/>
      <c r="Q138" s="15"/>
      <c r="R138" s="14"/>
    </row>
    <row r="139" customFormat="false" ht="15" hidden="false" customHeight="false" outlineLevel="0" collapsed="false">
      <c r="A139" s="9" t="s">
        <v>316</v>
      </c>
      <c r="B139" s="9" t="n">
        <v>379</v>
      </c>
      <c r="C139" s="10" t="s">
        <v>411</v>
      </c>
      <c r="D139" s="10" t="s">
        <v>412</v>
      </c>
      <c r="E139" s="9" t="s">
        <v>50</v>
      </c>
      <c r="F139" s="9" t="s">
        <v>365</v>
      </c>
      <c r="G139" s="11" t="n">
        <v>46206</v>
      </c>
      <c r="H139" s="11" t="n">
        <v>46571</v>
      </c>
      <c r="I139" s="12" t="n">
        <f aca="true">IF(H139="","",H139-TODAY())</f>
        <v>264</v>
      </c>
      <c r="J139" s="10" t="s">
        <v>225</v>
      </c>
      <c r="K139" s="13" t="s">
        <v>53</v>
      </c>
      <c r="L139" s="14"/>
      <c r="M139" s="15"/>
      <c r="N139" s="16"/>
      <c r="O139" s="15"/>
      <c r="P139" s="16"/>
      <c r="Q139" s="15"/>
      <c r="R139" s="14"/>
    </row>
    <row r="140" customFormat="false" ht="15" hidden="false" customHeight="false" outlineLevel="0" collapsed="false">
      <c r="A140" s="9" t="s">
        <v>316</v>
      </c>
      <c r="B140" s="9" t="n">
        <v>1106</v>
      </c>
      <c r="C140" s="10" t="s">
        <v>413</v>
      </c>
      <c r="D140" s="10" t="s">
        <v>414</v>
      </c>
      <c r="E140" s="9" t="s">
        <v>59</v>
      </c>
      <c r="F140" s="9" t="s">
        <v>365</v>
      </c>
      <c r="G140" s="11" t="n">
        <v>46212</v>
      </c>
      <c r="H140" s="11" t="n">
        <v>46577</v>
      </c>
      <c r="I140" s="12" t="n">
        <f aca="true">IF(H140="","",H140-TODAY())</f>
        <v>270</v>
      </c>
      <c r="J140" s="10" t="s">
        <v>415</v>
      </c>
      <c r="K140" s="13" t="s">
        <v>53</v>
      </c>
      <c r="L140" s="14"/>
      <c r="M140" s="15"/>
      <c r="N140" s="16"/>
      <c r="O140" s="15"/>
      <c r="P140" s="16"/>
      <c r="Q140" s="15"/>
      <c r="R140" s="14"/>
    </row>
    <row r="141" customFormat="false" ht="23.85" hidden="false" customHeight="false" outlineLevel="0" collapsed="false">
      <c r="A141" s="9" t="s">
        <v>316</v>
      </c>
      <c r="B141" s="9" t="n">
        <v>268</v>
      </c>
      <c r="C141" s="10" t="s">
        <v>416</v>
      </c>
      <c r="D141" s="10" t="s">
        <v>417</v>
      </c>
      <c r="E141" s="9" t="s">
        <v>59</v>
      </c>
      <c r="F141" s="9" t="s">
        <v>51</v>
      </c>
      <c r="G141" s="11" t="n">
        <v>45870</v>
      </c>
      <c r="H141" s="11" t="n">
        <v>46600</v>
      </c>
      <c r="I141" s="12" t="n">
        <f aca="true">IF(H141="","",H141-TODAY())</f>
        <v>293</v>
      </c>
      <c r="J141" s="10" t="s">
        <v>418</v>
      </c>
      <c r="K141" s="13" t="s">
        <v>53</v>
      </c>
      <c r="L141" s="14"/>
      <c r="M141" s="15"/>
      <c r="N141" s="16"/>
      <c r="O141" s="15"/>
      <c r="P141" s="16"/>
      <c r="Q141" s="15"/>
      <c r="R141" s="14"/>
    </row>
    <row r="142" customFormat="false" ht="35.05" hidden="false" customHeight="false" outlineLevel="0" collapsed="false">
      <c r="A142" s="9" t="s">
        <v>316</v>
      </c>
      <c r="B142" s="9" t="n">
        <v>162</v>
      </c>
      <c r="C142" s="10" t="s">
        <v>419</v>
      </c>
      <c r="D142" s="10" t="s">
        <v>420</v>
      </c>
      <c r="E142" s="9" t="s">
        <v>50</v>
      </c>
      <c r="F142" s="9" t="s">
        <v>365</v>
      </c>
      <c r="G142" s="11" t="n">
        <v>46238</v>
      </c>
      <c r="H142" s="11" t="n">
        <v>46603</v>
      </c>
      <c r="I142" s="12" t="n">
        <f aca="true">IF(H142="","",H142-TODAY())</f>
        <v>296</v>
      </c>
      <c r="J142" s="10" t="s">
        <v>421</v>
      </c>
      <c r="K142" s="13" t="s">
        <v>53</v>
      </c>
      <c r="L142" s="14"/>
      <c r="M142" s="15"/>
      <c r="N142" s="16"/>
      <c r="O142" s="15"/>
      <c r="P142" s="16"/>
      <c r="Q142" s="15"/>
      <c r="R142" s="14"/>
    </row>
    <row r="143" customFormat="false" ht="57.45" hidden="false" customHeight="false" outlineLevel="0" collapsed="false">
      <c r="A143" s="9" t="s">
        <v>316</v>
      </c>
      <c r="B143" s="9" t="n">
        <v>25</v>
      </c>
      <c r="C143" s="10" t="s">
        <v>422</v>
      </c>
      <c r="D143" s="10" t="s">
        <v>259</v>
      </c>
      <c r="E143" s="9" t="s">
        <v>59</v>
      </c>
      <c r="F143" s="9" t="s">
        <v>63</v>
      </c>
      <c r="G143" s="11" t="n">
        <v>46242</v>
      </c>
      <c r="H143" s="11" t="n">
        <v>46607</v>
      </c>
      <c r="I143" s="12" t="n">
        <f aca="true">IF(H143="","",H143-TODAY())</f>
        <v>300</v>
      </c>
      <c r="J143" s="10" t="s">
        <v>423</v>
      </c>
      <c r="K143" s="13" t="s">
        <v>53</v>
      </c>
      <c r="L143" s="14"/>
      <c r="M143" s="15"/>
      <c r="N143" s="16"/>
      <c r="O143" s="15"/>
      <c r="P143" s="16"/>
      <c r="Q143" s="15"/>
      <c r="R143" s="14"/>
    </row>
    <row r="144" customFormat="false" ht="15" hidden="false" customHeight="false" outlineLevel="0" collapsed="false">
      <c r="A144" s="9" t="s">
        <v>316</v>
      </c>
      <c r="B144" s="9" t="n">
        <v>502</v>
      </c>
      <c r="C144" s="10" t="s">
        <v>424</v>
      </c>
      <c r="D144" s="10" t="s">
        <v>425</v>
      </c>
      <c r="E144" s="9" t="s">
        <v>50</v>
      </c>
      <c r="F144" s="9" t="s">
        <v>365</v>
      </c>
      <c r="G144" s="11" t="n">
        <v>46244</v>
      </c>
      <c r="H144" s="11" t="n">
        <v>46609</v>
      </c>
      <c r="I144" s="12" t="n">
        <f aca="true">IF(H144="","",H144-TODAY())</f>
        <v>302</v>
      </c>
      <c r="J144" s="10"/>
      <c r="K144" s="13" t="s">
        <v>53</v>
      </c>
      <c r="L144" s="14"/>
      <c r="M144" s="15"/>
      <c r="N144" s="16"/>
      <c r="O144" s="15"/>
      <c r="P144" s="16"/>
      <c r="Q144" s="15"/>
      <c r="R144" s="14"/>
    </row>
    <row r="145" customFormat="false" ht="46.25" hidden="false" customHeight="false" outlineLevel="0" collapsed="false">
      <c r="A145" s="9" t="s">
        <v>316</v>
      </c>
      <c r="B145" s="9" t="n">
        <v>463</v>
      </c>
      <c r="C145" s="10" t="s">
        <v>426</v>
      </c>
      <c r="D145" s="10" t="s">
        <v>427</v>
      </c>
      <c r="E145" s="9" t="s">
        <v>59</v>
      </c>
      <c r="F145" s="9" t="s">
        <v>63</v>
      </c>
      <c r="G145" s="11" t="n">
        <v>46248</v>
      </c>
      <c r="H145" s="11" t="n">
        <v>46613</v>
      </c>
      <c r="I145" s="12" t="n">
        <f aca="true">IF(H145="","",H145-TODAY())</f>
        <v>306</v>
      </c>
      <c r="J145" s="10" t="s">
        <v>428</v>
      </c>
      <c r="K145" s="13" t="s">
        <v>53</v>
      </c>
      <c r="L145" s="14"/>
      <c r="M145" s="15"/>
      <c r="N145" s="16"/>
      <c r="O145" s="15"/>
      <c r="P145" s="16"/>
      <c r="Q145" s="15"/>
      <c r="R145" s="14"/>
    </row>
    <row r="146" customFormat="false" ht="23.85" hidden="false" customHeight="false" outlineLevel="0" collapsed="false">
      <c r="A146" s="9" t="s">
        <v>316</v>
      </c>
      <c r="B146" s="9" t="n">
        <v>281</v>
      </c>
      <c r="C146" s="10" t="s">
        <v>429</v>
      </c>
      <c r="D146" s="10" t="s">
        <v>430</v>
      </c>
      <c r="E146" s="9" t="s">
        <v>59</v>
      </c>
      <c r="F146" s="9" t="s">
        <v>63</v>
      </c>
      <c r="G146" s="11" t="n">
        <v>46248</v>
      </c>
      <c r="H146" s="11" t="n">
        <v>46613</v>
      </c>
      <c r="I146" s="12" t="n">
        <f aca="true">IF(H146="","",H146-TODAY())</f>
        <v>306</v>
      </c>
      <c r="J146" s="10" t="s">
        <v>431</v>
      </c>
      <c r="K146" s="13" t="s">
        <v>53</v>
      </c>
      <c r="L146" s="14"/>
      <c r="M146" s="15"/>
      <c r="N146" s="16"/>
      <c r="O146" s="15"/>
      <c r="P146" s="16"/>
      <c r="Q146" s="15"/>
      <c r="R146" s="14"/>
    </row>
    <row r="147" customFormat="false" ht="23.85" hidden="false" customHeight="false" outlineLevel="0" collapsed="false">
      <c r="A147" s="9" t="s">
        <v>316</v>
      </c>
      <c r="B147" s="9" t="n">
        <v>475</v>
      </c>
      <c r="C147" s="10" t="s">
        <v>432</v>
      </c>
      <c r="D147" s="10" t="s">
        <v>433</v>
      </c>
      <c r="E147" s="9" t="s">
        <v>50</v>
      </c>
      <c r="F147" s="9" t="s">
        <v>51</v>
      </c>
      <c r="G147" s="11" t="n">
        <v>46262</v>
      </c>
      <c r="H147" s="11" t="n">
        <v>46627</v>
      </c>
      <c r="I147" s="12" t="n">
        <f aca="true">IF(H147="","",H147-TODAY())</f>
        <v>320</v>
      </c>
      <c r="J147" s="10" t="s">
        <v>434</v>
      </c>
      <c r="K147" s="13" t="s">
        <v>53</v>
      </c>
      <c r="L147" s="14"/>
      <c r="M147" s="15"/>
      <c r="N147" s="16"/>
      <c r="O147" s="15"/>
      <c r="P147" s="16"/>
      <c r="Q147" s="15"/>
      <c r="R147" s="14"/>
    </row>
    <row r="148" customFormat="false" ht="23.85" hidden="false" customHeight="false" outlineLevel="0" collapsed="false">
      <c r="A148" s="9" t="s">
        <v>316</v>
      </c>
      <c r="B148" s="9" t="n">
        <v>456</v>
      </c>
      <c r="C148" s="10" t="s">
        <v>435</v>
      </c>
      <c r="D148" s="10" t="s">
        <v>436</v>
      </c>
      <c r="E148" s="9" t="s">
        <v>50</v>
      </c>
      <c r="F148" s="9" t="s">
        <v>365</v>
      </c>
      <c r="G148" s="11" t="n">
        <v>46265</v>
      </c>
      <c r="H148" s="11" t="n">
        <v>46630</v>
      </c>
      <c r="I148" s="12" t="n">
        <f aca="true">IF(H148="","",H148-TODAY())</f>
        <v>323</v>
      </c>
      <c r="J148" s="10"/>
      <c r="K148" s="13" t="s">
        <v>53</v>
      </c>
      <c r="L148" s="14"/>
      <c r="M148" s="15"/>
      <c r="N148" s="16"/>
      <c r="O148" s="15"/>
      <c r="P148" s="16"/>
      <c r="Q148" s="15"/>
      <c r="R148" s="14"/>
    </row>
    <row r="149" customFormat="false" ht="35.05" hidden="false" customHeight="false" outlineLevel="0" collapsed="false">
      <c r="A149" s="9" t="s">
        <v>316</v>
      </c>
      <c r="B149" s="9" t="n">
        <v>417</v>
      </c>
      <c r="C149" s="10" t="s">
        <v>437</v>
      </c>
      <c r="D149" s="10" t="s">
        <v>438</v>
      </c>
      <c r="E149" s="9" t="s">
        <v>50</v>
      </c>
      <c r="F149" s="9" t="s">
        <v>63</v>
      </c>
      <c r="G149" s="11" t="n">
        <v>46266</v>
      </c>
      <c r="H149" s="11" t="n">
        <v>46631</v>
      </c>
      <c r="I149" s="12" t="n">
        <f aca="true">IF(H149="","",H149-TODAY())</f>
        <v>324</v>
      </c>
      <c r="J149" s="10" t="s">
        <v>439</v>
      </c>
      <c r="K149" s="13" t="s">
        <v>53</v>
      </c>
      <c r="L149" s="14"/>
      <c r="M149" s="15"/>
      <c r="N149" s="16"/>
      <c r="O149" s="15"/>
      <c r="P149" s="16"/>
      <c r="Q149" s="15"/>
      <c r="R149" s="14"/>
    </row>
    <row r="150" customFormat="false" ht="15" hidden="false" customHeight="false" outlineLevel="0" collapsed="false">
      <c r="A150" s="9" t="s">
        <v>316</v>
      </c>
      <c r="B150" s="9" t="n">
        <v>583</v>
      </c>
      <c r="C150" s="10" t="s">
        <v>440</v>
      </c>
      <c r="D150" s="10" t="s">
        <v>441</v>
      </c>
      <c r="E150" s="9" t="s">
        <v>59</v>
      </c>
      <c r="F150" s="9" t="s">
        <v>365</v>
      </c>
      <c r="G150" s="11" t="n">
        <v>46266</v>
      </c>
      <c r="H150" s="11" t="n">
        <v>46631</v>
      </c>
      <c r="I150" s="12" t="n">
        <f aca="true">IF(H150="","",H150-TODAY())</f>
        <v>324</v>
      </c>
      <c r="J150" s="10" t="s">
        <v>442</v>
      </c>
      <c r="K150" s="13" t="s">
        <v>53</v>
      </c>
      <c r="L150" s="14"/>
      <c r="M150" s="15"/>
      <c r="N150" s="16"/>
      <c r="O150" s="15"/>
      <c r="P150" s="16"/>
      <c r="Q150" s="15"/>
      <c r="R150" s="14"/>
    </row>
    <row r="151" customFormat="false" ht="23.85" hidden="false" customHeight="false" outlineLevel="0" collapsed="false">
      <c r="A151" s="9" t="s">
        <v>316</v>
      </c>
      <c r="B151" s="9" t="n">
        <v>979</v>
      </c>
      <c r="C151" s="10" t="s">
        <v>443</v>
      </c>
      <c r="D151" s="10" t="s">
        <v>364</v>
      </c>
      <c r="E151" s="9" t="s">
        <v>59</v>
      </c>
      <c r="F151" s="9" t="s">
        <v>63</v>
      </c>
      <c r="G151" s="11" t="n">
        <v>46266</v>
      </c>
      <c r="H151" s="11" t="n">
        <v>46631</v>
      </c>
      <c r="I151" s="12" t="n">
        <f aca="true">IF(H151="","",H151-TODAY())</f>
        <v>324</v>
      </c>
      <c r="J151" s="10" t="s">
        <v>444</v>
      </c>
      <c r="K151" s="13" t="s">
        <v>53</v>
      </c>
      <c r="L151" s="14"/>
      <c r="M151" s="15"/>
      <c r="N151" s="16"/>
      <c r="O151" s="15"/>
      <c r="P151" s="16"/>
      <c r="Q151" s="15"/>
      <c r="R151" s="14"/>
    </row>
    <row r="152" customFormat="false" ht="15" hidden="false" customHeight="false" outlineLevel="0" collapsed="false">
      <c r="A152" s="9" t="s">
        <v>316</v>
      </c>
      <c r="B152" s="9" t="n">
        <v>67</v>
      </c>
      <c r="C152" s="10" t="s">
        <v>445</v>
      </c>
      <c r="D152" s="10" t="s">
        <v>446</v>
      </c>
      <c r="E152" s="9" t="s">
        <v>50</v>
      </c>
      <c r="F152" s="9" t="s">
        <v>365</v>
      </c>
      <c r="G152" s="11" t="n">
        <v>45901</v>
      </c>
      <c r="H152" s="11" t="n">
        <v>46631</v>
      </c>
      <c r="I152" s="12" t="n">
        <f aca="true">IF(H152="","",H152-TODAY())</f>
        <v>324</v>
      </c>
      <c r="J152" s="10"/>
      <c r="K152" s="13" t="s">
        <v>53</v>
      </c>
      <c r="L152" s="14"/>
      <c r="M152" s="15"/>
      <c r="N152" s="16"/>
      <c r="O152" s="15"/>
      <c r="P152" s="16"/>
      <c r="Q152" s="15"/>
      <c r="R152" s="14"/>
    </row>
    <row r="153" customFormat="false" ht="35.05" hidden="false" customHeight="false" outlineLevel="0" collapsed="false">
      <c r="A153" s="9" t="s">
        <v>316</v>
      </c>
      <c r="B153" s="9" t="n">
        <v>69</v>
      </c>
      <c r="C153" s="10" t="s">
        <v>447</v>
      </c>
      <c r="D153" s="10" t="s">
        <v>448</v>
      </c>
      <c r="E153" s="9" t="s">
        <v>59</v>
      </c>
      <c r="F153" s="9" t="s">
        <v>51</v>
      </c>
      <c r="G153" s="11" t="n">
        <v>46266</v>
      </c>
      <c r="H153" s="11" t="n">
        <v>46631</v>
      </c>
      <c r="I153" s="12" t="n">
        <f aca="true">IF(H153="","",H153-TODAY())</f>
        <v>324</v>
      </c>
      <c r="J153" s="10" t="s">
        <v>449</v>
      </c>
      <c r="K153" s="13" t="s">
        <v>53</v>
      </c>
      <c r="L153" s="14"/>
      <c r="M153" s="15"/>
      <c r="N153" s="16"/>
      <c r="O153" s="15"/>
      <c r="P153" s="16"/>
      <c r="Q153" s="15"/>
      <c r="R153" s="14"/>
    </row>
    <row r="154" customFormat="false" ht="23.85" hidden="false" customHeight="false" outlineLevel="0" collapsed="false">
      <c r="A154" s="9" t="s">
        <v>316</v>
      </c>
      <c r="B154" s="9" t="n">
        <v>85</v>
      </c>
      <c r="C154" s="10" t="s">
        <v>450</v>
      </c>
      <c r="D154" s="10" t="s">
        <v>451</v>
      </c>
      <c r="E154" s="9" t="s">
        <v>50</v>
      </c>
      <c r="F154" s="9" t="s">
        <v>51</v>
      </c>
      <c r="G154" s="11" t="n">
        <v>46266</v>
      </c>
      <c r="H154" s="11" t="n">
        <v>46631</v>
      </c>
      <c r="I154" s="12" t="n">
        <f aca="true">IF(H154="","",H154-TODAY())</f>
        <v>324</v>
      </c>
      <c r="J154" s="10" t="s">
        <v>452</v>
      </c>
      <c r="K154" s="13" t="s">
        <v>53</v>
      </c>
      <c r="L154" s="14"/>
      <c r="M154" s="15"/>
      <c r="N154" s="16"/>
      <c r="O154" s="15"/>
      <c r="P154" s="16"/>
      <c r="Q154" s="15"/>
      <c r="R154" s="14"/>
    </row>
    <row r="155" customFormat="false" ht="68.65" hidden="false" customHeight="false" outlineLevel="0" collapsed="false">
      <c r="A155" s="9" t="s">
        <v>316</v>
      </c>
      <c r="B155" s="9" t="n">
        <v>1006</v>
      </c>
      <c r="C155" s="10" t="s">
        <v>453</v>
      </c>
      <c r="D155" s="10" t="s">
        <v>454</v>
      </c>
      <c r="E155" s="9" t="s">
        <v>50</v>
      </c>
      <c r="F155" s="9" t="s">
        <v>51</v>
      </c>
      <c r="G155" s="11" t="n">
        <v>46269</v>
      </c>
      <c r="H155" s="11" t="n">
        <v>46634</v>
      </c>
      <c r="I155" s="12" t="n">
        <f aca="true">IF(H155="","",H155-TODAY())</f>
        <v>327</v>
      </c>
      <c r="J155" s="10" t="s">
        <v>455</v>
      </c>
      <c r="K155" s="13" t="s">
        <v>53</v>
      </c>
      <c r="L155" s="14"/>
      <c r="M155" s="15"/>
      <c r="N155" s="16"/>
      <c r="O155" s="15"/>
      <c r="P155" s="16"/>
      <c r="Q155" s="15"/>
      <c r="R155" s="14"/>
    </row>
    <row r="156" customFormat="false" ht="23.85" hidden="false" customHeight="false" outlineLevel="0" collapsed="false">
      <c r="A156" s="9" t="s">
        <v>316</v>
      </c>
      <c r="B156" s="9" t="n">
        <v>964</v>
      </c>
      <c r="C156" s="10" t="s">
        <v>456</v>
      </c>
      <c r="D156" s="10" t="s">
        <v>315</v>
      </c>
      <c r="E156" s="9" t="s">
        <v>50</v>
      </c>
      <c r="F156" s="9" t="s">
        <v>51</v>
      </c>
      <c r="G156" s="11" t="n">
        <v>46272</v>
      </c>
      <c r="H156" s="11" t="n">
        <v>46637</v>
      </c>
      <c r="I156" s="12" t="n">
        <f aca="true">IF(H156="","",H156-TODAY())</f>
        <v>330</v>
      </c>
      <c r="J156" s="10"/>
      <c r="K156" s="13" t="s">
        <v>53</v>
      </c>
      <c r="L156" s="14"/>
      <c r="M156" s="15"/>
      <c r="N156" s="16"/>
      <c r="O156" s="15"/>
      <c r="P156" s="16"/>
      <c r="Q156" s="15"/>
      <c r="R156" s="14"/>
    </row>
    <row r="157" customFormat="false" ht="35.05" hidden="false" customHeight="false" outlineLevel="0" collapsed="false">
      <c r="A157" s="9" t="s">
        <v>316</v>
      </c>
      <c r="B157" s="9" t="n">
        <v>75</v>
      </c>
      <c r="C157" s="10" t="s">
        <v>457</v>
      </c>
      <c r="D157" s="10" t="s">
        <v>458</v>
      </c>
      <c r="E157" s="9" t="s">
        <v>59</v>
      </c>
      <c r="F157" s="9" t="s">
        <v>51</v>
      </c>
      <c r="G157" s="11" t="n">
        <v>46273</v>
      </c>
      <c r="H157" s="11" t="n">
        <v>46638</v>
      </c>
      <c r="I157" s="12" t="n">
        <f aca="true">IF(H157="","",H157-TODAY())</f>
        <v>331</v>
      </c>
      <c r="J157" s="10" t="s">
        <v>459</v>
      </c>
      <c r="K157" s="13" t="s">
        <v>53</v>
      </c>
      <c r="L157" s="14"/>
      <c r="M157" s="15"/>
      <c r="N157" s="16"/>
      <c r="O157" s="15"/>
      <c r="P157" s="16"/>
      <c r="Q157" s="15"/>
      <c r="R157" s="14"/>
    </row>
    <row r="158" customFormat="false" ht="23.85" hidden="false" customHeight="false" outlineLevel="0" collapsed="false">
      <c r="A158" s="9" t="s">
        <v>316</v>
      </c>
      <c r="B158" s="9" t="n">
        <v>100</v>
      </c>
      <c r="C158" s="10" t="s">
        <v>460</v>
      </c>
      <c r="D158" s="10" t="s">
        <v>461</v>
      </c>
      <c r="E158" s="9" t="s">
        <v>50</v>
      </c>
      <c r="F158" s="9" t="s">
        <v>51</v>
      </c>
      <c r="G158" s="11" t="n">
        <v>46275</v>
      </c>
      <c r="H158" s="11" t="n">
        <v>46640</v>
      </c>
      <c r="I158" s="12" t="n">
        <f aca="true">IF(H158="","",H158-TODAY())</f>
        <v>333</v>
      </c>
      <c r="J158" s="10" t="s">
        <v>462</v>
      </c>
      <c r="K158" s="13" t="s">
        <v>53</v>
      </c>
      <c r="L158" s="14"/>
      <c r="M158" s="15"/>
      <c r="N158" s="16"/>
      <c r="O158" s="15"/>
      <c r="P158" s="16"/>
      <c r="Q158" s="15"/>
      <c r="R158" s="14"/>
    </row>
    <row r="159" customFormat="false" ht="35.05" hidden="false" customHeight="false" outlineLevel="0" collapsed="false">
      <c r="A159" s="9" t="s">
        <v>316</v>
      </c>
      <c r="B159" s="9" t="n">
        <v>747</v>
      </c>
      <c r="C159" s="10" t="s">
        <v>463</v>
      </c>
      <c r="D159" s="10" t="s">
        <v>464</v>
      </c>
      <c r="E159" s="9" t="s">
        <v>50</v>
      </c>
      <c r="F159" s="9" t="s">
        <v>51</v>
      </c>
      <c r="G159" s="11" t="n">
        <v>45910</v>
      </c>
      <c r="H159" s="11" t="n">
        <v>46640</v>
      </c>
      <c r="I159" s="12" t="n">
        <f aca="true">IF(H159="","",H159-TODAY())</f>
        <v>333</v>
      </c>
      <c r="J159" s="10" t="s">
        <v>465</v>
      </c>
      <c r="K159" s="13" t="s">
        <v>53</v>
      </c>
      <c r="L159" s="14"/>
      <c r="M159" s="15"/>
      <c r="N159" s="16"/>
      <c r="O159" s="15"/>
      <c r="P159" s="16"/>
      <c r="Q159" s="15"/>
      <c r="R159" s="14"/>
    </row>
    <row r="160" customFormat="false" ht="15" hidden="false" customHeight="false" outlineLevel="0" collapsed="false">
      <c r="A160" s="9" t="s">
        <v>316</v>
      </c>
      <c r="B160" s="9" t="n">
        <v>663</v>
      </c>
      <c r="C160" s="10" t="s">
        <v>466</v>
      </c>
      <c r="D160" s="10" t="s">
        <v>259</v>
      </c>
      <c r="E160" s="9" t="s">
        <v>50</v>
      </c>
      <c r="F160" s="9" t="s">
        <v>51</v>
      </c>
      <c r="G160" s="11" t="n">
        <v>46275</v>
      </c>
      <c r="H160" s="11" t="n">
        <v>46640</v>
      </c>
      <c r="I160" s="12" t="n">
        <f aca="true">IF(H160="","",H160-TODAY())</f>
        <v>333</v>
      </c>
      <c r="J160" s="10"/>
      <c r="K160" s="13" t="s">
        <v>53</v>
      </c>
      <c r="L160" s="14"/>
      <c r="M160" s="15"/>
      <c r="N160" s="16"/>
      <c r="O160" s="15"/>
      <c r="P160" s="16"/>
      <c r="Q160" s="15"/>
      <c r="R160" s="14"/>
    </row>
    <row r="161" customFormat="false" ht="23.85" hidden="false" customHeight="false" outlineLevel="0" collapsed="false">
      <c r="A161" s="9" t="s">
        <v>316</v>
      </c>
      <c r="B161" s="9" t="n">
        <v>540</v>
      </c>
      <c r="C161" s="10" t="s">
        <v>467</v>
      </c>
      <c r="D161" s="10" t="s">
        <v>468</v>
      </c>
      <c r="E161" s="9" t="s">
        <v>50</v>
      </c>
      <c r="F161" s="9" t="s">
        <v>51</v>
      </c>
      <c r="G161" s="11" t="n">
        <v>46279</v>
      </c>
      <c r="H161" s="11" t="n">
        <v>46644</v>
      </c>
      <c r="I161" s="12" t="n">
        <f aca="true">IF(H161="","",H161-TODAY())</f>
        <v>337</v>
      </c>
      <c r="J161" s="10"/>
      <c r="K161" s="13" t="s">
        <v>53</v>
      </c>
      <c r="L161" s="14"/>
      <c r="M161" s="15"/>
      <c r="N161" s="16"/>
      <c r="O161" s="15"/>
      <c r="P161" s="16"/>
      <c r="Q161" s="15"/>
      <c r="R161" s="14"/>
    </row>
    <row r="162" customFormat="false" ht="23.85" hidden="false" customHeight="false" outlineLevel="0" collapsed="false">
      <c r="A162" s="9" t="s">
        <v>316</v>
      </c>
      <c r="B162" s="9" t="n">
        <v>690</v>
      </c>
      <c r="C162" s="10" t="s">
        <v>469</v>
      </c>
      <c r="D162" s="10" t="s">
        <v>470</v>
      </c>
      <c r="E162" s="9" t="s">
        <v>50</v>
      </c>
      <c r="F162" s="9" t="s">
        <v>51</v>
      </c>
      <c r="G162" s="11" t="n">
        <v>46280</v>
      </c>
      <c r="H162" s="11" t="n">
        <v>46645</v>
      </c>
      <c r="I162" s="12" t="n">
        <f aca="true">IF(H162="","",H162-TODAY())</f>
        <v>338</v>
      </c>
      <c r="J162" s="10"/>
      <c r="K162" s="13" t="s">
        <v>53</v>
      </c>
      <c r="L162" s="14"/>
      <c r="M162" s="15"/>
      <c r="N162" s="16"/>
      <c r="O162" s="15"/>
      <c r="P162" s="16"/>
      <c r="Q162" s="15"/>
      <c r="R162" s="14"/>
    </row>
    <row r="163" customFormat="false" ht="35.05" hidden="false" customHeight="false" outlineLevel="0" collapsed="false">
      <c r="A163" s="9" t="s">
        <v>316</v>
      </c>
      <c r="B163" s="9" t="n">
        <v>1083</v>
      </c>
      <c r="C163" s="10" t="s">
        <v>471</v>
      </c>
      <c r="D163" s="10" t="s">
        <v>472</v>
      </c>
      <c r="E163" s="9" t="s">
        <v>59</v>
      </c>
      <c r="F163" s="9" t="s">
        <v>51</v>
      </c>
      <c r="G163" s="11" t="n">
        <v>45915</v>
      </c>
      <c r="H163" s="11" t="n">
        <v>46645</v>
      </c>
      <c r="I163" s="12" t="n">
        <f aca="true">IF(H163="","",H163-TODAY())</f>
        <v>338</v>
      </c>
      <c r="J163" s="10" t="s">
        <v>473</v>
      </c>
      <c r="K163" s="13" t="s">
        <v>53</v>
      </c>
      <c r="L163" s="14"/>
      <c r="M163" s="15"/>
      <c r="N163" s="16"/>
      <c r="O163" s="15"/>
      <c r="P163" s="16"/>
      <c r="Q163" s="15"/>
      <c r="R163" s="14"/>
    </row>
    <row r="164" customFormat="false" ht="23.85" hidden="false" customHeight="false" outlineLevel="0" collapsed="false">
      <c r="A164" s="9" t="s">
        <v>316</v>
      </c>
      <c r="B164" s="9" t="n">
        <v>60</v>
      </c>
      <c r="C164" s="10" t="s">
        <v>474</v>
      </c>
      <c r="D164" s="10" t="s">
        <v>475</v>
      </c>
      <c r="E164" s="9" t="s">
        <v>59</v>
      </c>
      <c r="F164" s="9" t="s">
        <v>365</v>
      </c>
      <c r="G164" s="11" t="n">
        <v>46283</v>
      </c>
      <c r="H164" s="11" t="n">
        <v>46648</v>
      </c>
      <c r="I164" s="12" t="n">
        <f aca="true">IF(H164="","",H164-TODAY())</f>
        <v>341</v>
      </c>
      <c r="J164" s="10" t="s">
        <v>476</v>
      </c>
      <c r="K164" s="13" t="s">
        <v>53</v>
      </c>
      <c r="L164" s="14"/>
      <c r="M164" s="15"/>
      <c r="N164" s="16"/>
      <c r="O164" s="15"/>
      <c r="P164" s="16"/>
      <c r="Q164" s="15"/>
      <c r="R164" s="14"/>
    </row>
    <row r="165" customFormat="false" ht="23.85" hidden="false" customHeight="false" outlineLevel="0" collapsed="false">
      <c r="A165" s="9" t="s">
        <v>316</v>
      </c>
      <c r="B165" s="9" t="n">
        <v>49</v>
      </c>
      <c r="C165" s="10" t="s">
        <v>477</v>
      </c>
      <c r="D165" s="10" t="s">
        <v>478</v>
      </c>
      <c r="E165" s="9" t="s">
        <v>50</v>
      </c>
      <c r="F165" s="9" t="s">
        <v>51</v>
      </c>
      <c r="G165" s="11" t="n">
        <v>46286</v>
      </c>
      <c r="H165" s="11" t="n">
        <v>46651</v>
      </c>
      <c r="I165" s="12" t="n">
        <f aca="true">IF(H165="","",H165-TODAY())</f>
        <v>344</v>
      </c>
      <c r="J165" s="10"/>
      <c r="K165" s="13" t="s">
        <v>53</v>
      </c>
      <c r="L165" s="14"/>
      <c r="M165" s="15"/>
      <c r="N165" s="16"/>
      <c r="O165" s="15"/>
      <c r="P165" s="16"/>
      <c r="Q165" s="15"/>
      <c r="R165" s="14"/>
    </row>
    <row r="166" customFormat="false" ht="23.85" hidden="false" customHeight="false" outlineLevel="0" collapsed="false">
      <c r="A166" s="9" t="s">
        <v>316</v>
      </c>
      <c r="B166" s="9" t="n">
        <v>251</v>
      </c>
      <c r="C166" s="10" t="s">
        <v>479</v>
      </c>
      <c r="D166" s="10" t="s">
        <v>480</v>
      </c>
      <c r="E166" s="9" t="s">
        <v>50</v>
      </c>
      <c r="F166" s="9" t="s">
        <v>51</v>
      </c>
      <c r="G166" s="11" t="n">
        <v>45925</v>
      </c>
      <c r="H166" s="11" t="n">
        <v>46655</v>
      </c>
      <c r="I166" s="12" t="n">
        <f aca="true">IF(H166="","",H166-TODAY())</f>
        <v>348</v>
      </c>
      <c r="J166" s="10" t="s">
        <v>481</v>
      </c>
      <c r="K166" s="13" t="s">
        <v>53</v>
      </c>
      <c r="L166" s="14"/>
      <c r="M166" s="15"/>
      <c r="N166" s="16"/>
      <c r="O166" s="15"/>
      <c r="P166" s="16"/>
      <c r="Q166" s="15"/>
      <c r="R166" s="14"/>
    </row>
    <row r="167" customFormat="false" ht="23.85" hidden="false" customHeight="false" outlineLevel="0" collapsed="false">
      <c r="A167" s="9" t="s">
        <v>316</v>
      </c>
      <c r="B167" s="9" t="n">
        <v>241</v>
      </c>
      <c r="C167" s="10" t="s">
        <v>482</v>
      </c>
      <c r="D167" s="10" t="s">
        <v>483</v>
      </c>
      <c r="E167" s="9" t="s">
        <v>59</v>
      </c>
      <c r="F167" s="9" t="s">
        <v>63</v>
      </c>
      <c r="G167" s="11" t="n">
        <v>46290</v>
      </c>
      <c r="H167" s="11" t="n">
        <v>46655</v>
      </c>
      <c r="I167" s="12" t="n">
        <f aca="true">IF(H167="","",H167-TODAY())</f>
        <v>348</v>
      </c>
      <c r="J167" s="10"/>
      <c r="K167" s="13" t="s">
        <v>53</v>
      </c>
      <c r="L167" s="14"/>
      <c r="M167" s="15"/>
      <c r="N167" s="16"/>
      <c r="O167" s="15"/>
      <c r="P167" s="16"/>
      <c r="Q167" s="15"/>
      <c r="R167" s="14"/>
    </row>
    <row r="168" customFormat="false" ht="35.05" hidden="false" customHeight="false" outlineLevel="0" collapsed="false">
      <c r="A168" s="9" t="s">
        <v>316</v>
      </c>
      <c r="B168" s="9" t="n">
        <v>78</v>
      </c>
      <c r="C168" s="10" t="s">
        <v>484</v>
      </c>
      <c r="D168" s="10" t="s">
        <v>485</v>
      </c>
      <c r="E168" s="9" t="s">
        <v>50</v>
      </c>
      <c r="F168" s="9" t="s">
        <v>51</v>
      </c>
      <c r="G168" s="11" t="n">
        <v>46290</v>
      </c>
      <c r="H168" s="11" t="n">
        <v>46655</v>
      </c>
      <c r="I168" s="12" t="n">
        <f aca="true">IF(H168="","",H168-TODAY())</f>
        <v>348</v>
      </c>
      <c r="J168" s="10" t="s">
        <v>486</v>
      </c>
      <c r="K168" s="13" t="s">
        <v>53</v>
      </c>
      <c r="L168" s="14"/>
      <c r="M168" s="15"/>
      <c r="N168" s="16"/>
      <c r="O168" s="15"/>
      <c r="P168" s="16"/>
      <c r="Q168" s="15"/>
      <c r="R168" s="14"/>
    </row>
    <row r="169" customFormat="false" ht="23.85" hidden="false" customHeight="false" outlineLevel="0" collapsed="false">
      <c r="A169" s="9" t="s">
        <v>316</v>
      </c>
      <c r="B169" s="9" t="n">
        <v>51</v>
      </c>
      <c r="C169" s="10" t="s">
        <v>487</v>
      </c>
      <c r="D169" s="10" t="s">
        <v>488</v>
      </c>
      <c r="E169" s="9" t="s">
        <v>59</v>
      </c>
      <c r="F169" s="9" t="s">
        <v>51</v>
      </c>
      <c r="G169" s="11" t="n">
        <v>46294</v>
      </c>
      <c r="H169" s="11" t="n">
        <v>46659</v>
      </c>
      <c r="I169" s="12" t="n">
        <f aca="true">IF(H169="","",H169-TODAY())</f>
        <v>352</v>
      </c>
      <c r="J169" s="10"/>
      <c r="K169" s="13" t="s">
        <v>53</v>
      </c>
      <c r="L169" s="14"/>
      <c r="M169" s="15"/>
      <c r="N169" s="16"/>
      <c r="O169" s="15"/>
      <c r="P169" s="16"/>
      <c r="Q169" s="15"/>
      <c r="R169" s="14"/>
    </row>
    <row r="170" customFormat="false" ht="23.85" hidden="false" customHeight="false" outlineLevel="0" collapsed="false">
      <c r="A170" s="9" t="s">
        <v>316</v>
      </c>
      <c r="B170" s="9" t="n">
        <v>644</v>
      </c>
      <c r="C170" s="10" t="s">
        <v>489</v>
      </c>
      <c r="D170" s="10" t="s">
        <v>490</v>
      </c>
      <c r="E170" s="9" t="s">
        <v>50</v>
      </c>
      <c r="F170" s="9" t="s">
        <v>51</v>
      </c>
      <c r="G170" s="11" t="n">
        <v>46295</v>
      </c>
      <c r="H170" s="11" t="n">
        <v>46660</v>
      </c>
      <c r="I170" s="12" t="n">
        <f aca="true">IF(H170="","",H170-TODAY())</f>
        <v>353</v>
      </c>
      <c r="J170" s="10" t="s">
        <v>491</v>
      </c>
      <c r="K170" s="13" t="s">
        <v>53</v>
      </c>
      <c r="L170" s="14"/>
      <c r="M170" s="15"/>
      <c r="N170" s="16"/>
      <c r="O170" s="15"/>
      <c r="P170" s="16"/>
      <c r="Q170" s="15"/>
      <c r="R170" s="14"/>
    </row>
    <row r="171" customFormat="false" ht="15" hidden="false" customHeight="false" outlineLevel="0" collapsed="false">
      <c r="A171" s="9" t="s">
        <v>316</v>
      </c>
      <c r="B171" s="9" t="n">
        <v>42</v>
      </c>
      <c r="C171" s="10" t="s">
        <v>492</v>
      </c>
      <c r="D171" s="10" t="s">
        <v>493</v>
      </c>
      <c r="E171" s="9" t="s">
        <v>59</v>
      </c>
      <c r="F171" s="9" t="s">
        <v>51</v>
      </c>
      <c r="G171" s="11" t="n">
        <v>46295</v>
      </c>
      <c r="H171" s="11" t="n">
        <v>46660</v>
      </c>
      <c r="I171" s="12" t="n">
        <f aca="true">IF(H171="","",H171-TODAY())</f>
        <v>353</v>
      </c>
      <c r="J171" s="10" t="s">
        <v>494</v>
      </c>
      <c r="K171" s="13" t="s">
        <v>53</v>
      </c>
      <c r="L171" s="14"/>
      <c r="M171" s="15"/>
      <c r="N171" s="16"/>
      <c r="O171" s="15"/>
      <c r="P171" s="16"/>
      <c r="Q171" s="15"/>
      <c r="R171" s="14"/>
    </row>
    <row r="172" customFormat="false" ht="23.85" hidden="false" customHeight="false" outlineLevel="0" collapsed="false">
      <c r="A172" s="9" t="s">
        <v>316</v>
      </c>
      <c r="B172" s="9" t="n">
        <v>47</v>
      </c>
      <c r="C172" s="10" t="s">
        <v>495</v>
      </c>
      <c r="D172" s="10" t="s">
        <v>496</v>
      </c>
      <c r="E172" s="9" t="s">
        <v>59</v>
      </c>
      <c r="F172" s="9" t="s">
        <v>51</v>
      </c>
      <c r="G172" s="11" t="n">
        <v>46295</v>
      </c>
      <c r="H172" s="11" t="n">
        <v>46660</v>
      </c>
      <c r="I172" s="12" t="n">
        <f aca="true">IF(H172="","",H172-TODAY())</f>
        <v>353</v>
      </c>
      <c r="J172" s="10" t="s">
        <v>497</v>
      </c>
      <c r="K172" s="13" t="s">
        <v>53</v>
      </c>
      <c r="L172" s="14"/>
      <c r="M172" s="15"/>
      <c r="N172" s="16"/>
      <c r="O172" s="15"/>
      <c r="P172" s="16"/>
      <c r="Q172" s="15"/>
      <c r="R172" s="14"/>
    </row>
    <row r="173" customFormat="false" ht="23.85" hidden="false" customHeight="false" outlineLevel="0" collapsed="false">
      <c r="A173" s="9" t="s">
        <v>316</v>
      </c>
      <c r="B173" s="9" t="n">
        <v>541</v>
      </c>
      <c r="C173" s="10" t="s">
        <v>498</v>
      </c>
      <c r="D173" s="10" t="s">
        <v>499</v>
      </c>
      <c r="E173" s="9" t="s">
        <v>59</v>
      </c>
      <c r="F173" s="9" t="s">
        <v>51</v>
      </c>
      <c r="G173" s="11" t="n">
        <v>46295</v>
      </c>
      <c r="H173" s="11" t="n">
        <v>46660</v>
      </c>
      <c r="I173" s="12" t="n">
        <f aca="true">IF(H173="","",H173-TODAY())</f>
        <v>353</v>
      </c>
      <c r="J173" s="10" t="s">
        <v>500</v>
      </c>
      <c r="K173" s="13" t="s">
        <v>53</v>
      </c>
      <c r="L173" s="14"/>
      <c r="M173" s="15"/>
      <c r="N173" s="16"/>
      <c r="O173" s="15"/>
      <c r="P173" s="16"/>
      <c r="Q173" s="15"/>
      <c r="R173" s="14"/>
    </row>
    <row r="174" customFormat="false" ht="23.85" hidden="false" customHeight="false" outlineLevel="0" collapsed="false">
      <c r="A174" s="9" t="s">
        <v>316</v>
      </c>
      <c r="B174" s="9" t="n">
        <v>1059</v>
      </c>
      <c r="C174" s="10" t="s">
        <v>501</v>
      </c>
      <c r="D174" s="10" t="s">
        <v>502</v>
      </c>
      <c r="E174" s="9" t="s">
        <v>59</v>
      </c>
      <c r="F174" s="9" t="s">
        <v>51</v>
      </c>
      <c r="G174" s="11" t="n">
        <v>45930</v>
      </c>
      <c r="H174" s="11" t="n">
        <v>46660</v>
      </c>
      <c r="I174" s="12" t="n">
        <f aca="true">IF(H174="","",H174-TODAY())</f>
        <v>353</v>
      </c>
      <c r="J174" s="10" t="s">
        <v>503</v>
      </c>
      <c r="K174" s="13" t="s">
        <v>53</v>
      </c>
      <c r="L174" s="14"/>
      <c r="M174" s="15"/>
      <c r="N174" s="16"/>
      <c r="O174" s="15"/>
      <c r="P174" s="16"/>
      <c r="Q174" s="15"/>
      <c r="R174" s="14"/>
    </row>
    <row r="175" customFormat="false" ht="23.85" hidden="false" customHeight="false" outlineLevel="0" collapsed="false">
      <c r="A175" s="9" t="s">
        <v>316</v>
      </c>
      <c r="B175" s="9" t="n">
        <v>1105</v>
      </c>
      <c r="C175" s="10" t="s">
        <v>504</v>
      </c>
      <c r="D175" s="10" t="s">
        <v>505</v>
      </c>
      <c r="E175" s="9" t="s">
        <v>50</v>
      </c>
      <c r="F175" s="9" t="s">
        <v>51</v>
      </c>
      <c r="G175" s="11" t="n">
        <v>46295</v>
      </c>
      <c r="H175" s="11" t="n">
        <v>46660</v>
      </c>
      <c r="I175" s="12" t="n">
        <f aca="true">IF(H175="","",H175-TODAY())</f>
        <v>353</v>
      </c>
      <c r="J175" s="10" t="s">
        <v>506</v>
      </c>
      <c r="K175" s="13" t="s">
        <v>53</v>
      </c>
      <c r="L175" s="14"/>
      <c r="M175" s="15"/>
      <c r="N175" s="16"/>
      <c r="O175" s="15"/>
      <c r="P175" s="16"/>
      <c r="Q175" s="15"/>
      <c r="R175" s="14"/>
    </row>
    <row r="176" customFormat="false" ht="15" hidden="false" customHeight="false" outlineLevel="0" collapsed="false">
      <c r="A176" s="9" t="s">
        <v>316</v>
      </c>
      <c r="B176" s="9" t="n">
        <v>388</v>
      </c>
      <c r="C176" s="10" t="s">
        <v>507</v>
      </c>
      <c r="D176" s="10" t="s">
        <v>508</v>
      </c>
      <c r="E176" s="9" t="s">
        <v>50</v>
      </c>
      <c r="F176" s="9" t="s">
        <v>51</v>
      </c>
      <c r="G176" s="11" t="n">
        <v>46296</v>
      </c>
      <c r="H176" s="11" t="n">
        <v>46661</v>
      </c>
      <c r="I176" s="12" t="n">
        <f aca="true">IF(H176="","",H176-TODAY())</f>
        <v>354</v>
      </c>
      <c r="J176" s="10"/>
      <c r="K176" s="13" t="s">
        <v>53</v>
      </c>
      <c r="L176" s="14"/>
      <c r="M176" s="15"/>
      <c r="N176" s="16"/>
      <c r="O176" s="15"/>
      <c r="P176" s="16"/>
      <c r="Q176" s="15"/>
      <c r="R176" s="14"/>
    </row>
    <row r="177" customFormat="false" ht="23.85" hidden="false" customHeight="false" outlineLevel="0" collapsed="false">
      <c r="A177" s="9" t="s">
        <v>316</v>
      </c>
      <c r="B177" s="9" t="n">
        <v>41</v>
      </c>
      <c r="C177" s="10" t="s">
        <v>509</v>
      </c>
      <c r="D177" s="10" t="s">
        <v>510</v>
      </c>
      <c r="E177" s="9" t="s">
        <v>59</v>
      </c>
      <c r="F177" s="9" t="s">
        <v>63</v>
      </c>
      <c r="G177" s="11" t="n">
        <v>46296</v>
      </c>
      <c r="H177" s="11" t="n">
        <v>46661</v>
      </c>
      <c r="I177" s="12" t="n">
        <f aca="true">IF(H177="","",H177-TODAY())</f>
        <v>354</v>
      </c>
      <c r="J177" s="10" t="s">
        <v>511</v>
      </c>
      <c r="K177" s="13" t="s">
        <v>53</v>
      </c>
      <c r="L177" s="14"/>
      <c r="M177" s="15"/>
      <c r="N177" s="16"/>
      <c r="O177" s="15"/>
      <c r="P177" s="16"/>
      <c r="Q177" s="15"/>
      <c r="R177" s="14"/>
    </row>
    <row r="178" customFormat="false" ht="23.85" hidden="false" customHeight="false" outlineLevel="0" collapsed="false">
      <c r="A178" s="9" t="s">
        <v>316</v>
      </c>
      <c r="B178" s="9" t="n">
        <v>65</v>
      </c>
      <c r="C178" s="10" t="s">
        <v>512</v>
      </c>
      <c r="D178" s="10" t="s">
        <v>513</v>
      </c>
      <c r="E178" s="9" t="s">
        <v>59</v>
      </c>
      <c r="F178" s="9" t="s">
        <v>51</v>
      </c>
      <c r="G178" s="11" t="n">
        <v>46296</v>
      </c>
      <c r="H178" s="11" t="n">
        <v>46661</v>
      </c>
      <c r="I178" s="12" t="n">
        <f aca="true">IF(H178="","",H178-TODAY())</f>
        <v>354</v>
      </c>
      <c r="J178" s="10" t="s">
        <v>514</v>
      </c>
      <c r="K178" s="13" t="s">
        <v>53</v>
      </c>
      <c r="L178" s="14"/>
      <c r="M178" s="15"/>
      <c r="N178" s="16"/>
      <c r="O178" s="15"/>
      <c r="P178" s="16"/>
      <c r="Q178" s="15"/>
      <c r="R178" s="14"/>
    </row>
    <row r="179" customFormat="false" ht="23.85" hidden="false" customHeight="false" outlineLevel="0" collapsed="false">
      <c r="A179" s="9" t="s">
        <v>316</v>
      </c>
      <c r="B179" s="9" t="n">
        <v>96</v>
      </c>
      <c r="C179" s="10" t="s">
        <v>515</v>
      </c>
      <c r="D179" s="10" t="s">
        <v>516</v>
      </c>
      <c r="E179" s="9" t="s">
        <v>59</v>
      </c>
      <c r="F179" s="9" t="s">
        <v>51</v>
      </c>
      <c r="G179" s="11" t="n">
        <v>46296</v>
      </c>
      <c r="H179" s="11" t="n">
        <v>46661</v>
      </c>
      <c r="I179" s="12" t="n">
        <f aca="true">IF(H179="","",H179-TODAY())</f>
        <v>354</v>
      </c>
      <c r="J179" s="10" t="s">
        <v>517</v>
      </c>
      <c r="K179" s="13" t="s">
        <v>53</v>
      </c>
      <c r="L179" s="14"/>
      <c r="M179" s="15"/>
      <c r="N179" s="16"/>
      <c r="O179" s="15"/>
      <c r="P179" s="16"/>
      <c r="Q179" s="15"/>
      <c r="R179" s="14"/>
    </row>
    <row r="180" customFormat="false" ht="46.25" hidden="false" customHeight="false" outlineLevel="0" collapsed="false">
      <c r="A180" s="9" t="s">
        <v>316</v>
      </c>
      <c r="B180" s="9" t="n">
        <v>44</v>
      </c>
      <c r="C180" s="10" t="s">
        <v>518</v>
      </c>
      <c r="D180" s="10" t="s">
        <v>519</v>
      </c>
      <c r="E180" s="9" t="s">
        <v>59</v>
      </c>
      <c r="F180" s="9" t="s">
        <v>51</v>
      </c>
      <c r="G180" s="11" t="n">
        <v>46296</v>
      </c>
      <c r="H180" s="11" t="n">
        <v>46661</v>
      </c>
      <c r="I180" s="12" t="n">
        <f aca="true">IF(H180="","",H180-TODAY())</f>
        <v>354</v>
      </c>
      <c r="J180" s="10" t="s">
        <v>520</v>
      </c>
      <c r="K180" s="13" t="s">
        <v>53</v>
      </c>
      <c r="L180" s="14"/>
      <c r="M180" s="15"/>
      <c r="N180" s="16"/>
      <c r="O180" s="15"/>
      <c r="P180" s="16"/>
      <c r="Q180" s="15"/>
      <c r="R180" s="14"/>
    </row>
    <row r="181" customFormat="false" ht="35.05" hidden="false" customHeight="false" outlineLevel="0" collapsed="false">
      <c r="A181" s="9" t="s">
        <v>316</v>
      </c>
      <c r="B181" s="9" t="n">
        <v>59</v>
      </c>
      <c r="C181" s="10" t="s">
        <v>521</v>
      </c>
      <c r="D181" s="10" t="s">
        <v>522</v>
      </c>
      <c r="E181" s="9" t="s">
        <v>59</v>
      </c>
      <c r="F181" s="9" t="s">
        <v>51</v>
      </c>
      <c r="G181" s="11" t="n">
        <v>46296</v>
      </c>
      <c r="H181" s="11" t="n">
        <v>46661</v>
      </c>
      <c r="I181" s="12" t="n">
        <f aca="true">IF(H181="","",H181-TODAY())</f>
        <v>354</v>
      </c>
      <c r="J181" s="10" t="s">
        <v>523</v>
      </c>
      <c r="K181" s="13" t="s">
        <v>53</v>
      </c>
      <c r="L181" s="14"/>
      <c r="M181" s="15"/>
      <c r="N181" s="16"/>
      <c r="O181" s="15"/>
      <c r="P181" s="16"/>
      <c r="Q181" s="15"/>
      <c r="R181" s="14"/>
    </row>
    <row r="182" customFormat="false" ht="79.85" hidden="false" customHeight="false" outlineLevel="0" collapsed="false">
      <c r="A182" s="9" t="s">
        <v>316</v>
      </c>
      <c r="B182" s="9" t="n">
        <v>628</v>
      </c>
      <c r="C182" s="10" t="s">
        <v>524</v>
      </c>
      <c r="D182" s="10" t="s">
        <v>525</v>
      </c>
      <c r="E182" s="9" t="s">
        <v>50</v>
      </c>
      <c r="F182" s="9" t="s">
        <v>51</v>
      </c>
      <c r="G182" s="11" t="n">
        <v>46297</v>
      </c>
      <c r="H182" s="11" t="n">
        <v>46662</v>
      </c>
      <c r="I182" s="12" t="n">
        <f aca="true">IF(H182="","",H182-TODAY())</f>
        <v>355</v>
      </c>
      <c r="J182" s="10" t="s">
        <v>526</v>
      </c>
      <c r="K182" s="13" t="s">
        <v>53</v>
      </c>
      <c r="L182" s="14"/>
      <c r="M182" s="15"/>
      <c r="N182" s="16"/>
      <c r="O182" s="15"/>
      <c r="P182" s="16"/>
      <c r="Q182" s="15"/>
      <c r="R182" s="14"/>
    </row>
    <row r="183" customFormat="false" ht="46.25" hidden="false" customHeight="false" outlineLevel="0" collapsed="false">
      <c r="A183" s="9" t="s">
        <v>316</v>
      </c>
      <c r="B183" s="9" t="n">
        <v>64</v>
      </c>
      <c r="C183" s="10" t="s">
        <v>527</v>
      </c>
      <c r="D183" s="10" t="s">
        <v>528</v>
      </c>
      <c r="E183" s="9" t="s">
        <v>59</v>
      </c>
      <c r="F183" s="9" t="s">
        <v>51</v>
      </c>
      <c r="G183" s="11" t="n">
        <v>46298</v>
      </c>
      <c r="H183" s="11" t="n">
        <v>46663</v>
      </c>
      <c r="I183" s="12" t="n">
        <f aca="true">IF(H183="","",H183-TODAY())</f>
        <v>356</v>
      </c>
      <c r="J183" s="10" t="s">
        <v>529</v>
      </c>
      <c r="K183" s="13" t="s">
        <v>53</v>
      </c>
      <c r="L183" s="14"/>
      <c r="M183" s="15"/>
      <c r="N183" s="16"/>
      <c r="O183" s="15"/>
      <c r="P183" s="16"/>
      <c r="Q183" s="15"/>
      <c r="R183" s="14"/>
    </row>
    <row r="184" customFormat="false" ht="15" hidden="false" customHeight="false" outlineLevel="0" collapsed="false">
      <c r="A184" s="9" t="s">
        <v>316</v>
      </c>
      <c r="B184" s="9" t="n">
        <v>656</v>
      </c>
      <c r="C184" s="10" t="s">
        <v>530</v>
      </c>
      <c r="D184" s="10" t="s">
        <v>531</v>
      </c>
      <c r="E184" s="9" t="s">
        <v>50</v>
      </c>
      <c r="F184" s="9" t="s">
        <v>51</v>
      </c>
      <c r="G184" s="11" t="n">
        <v>46300</v>
      </c>
      <c r="H184" s="11" t="n">
        <v>46665</v>
      </c>
      <c r="I184" s="12" t="n">
        <f aca="true">IF(H184="","",H184-TODAY())</f>
        <v>358</v>
      </c>
      <c r="J184" s="10" t="s">
        <v>202</v>
      </c>
      <c r="K184" s="13" t="s">
        <v>53</v>
      </c>
      <c r="L184" s="14"/>
      <c r="M184" s="15"/>
      <c r="N184" s="16"/>
      <c r="O184" s="15"/>
      <c r="P184" s="16"/>
      <c r="Q184" s="15"/>
      <c r="R184" s="14"/>
    </row>
    <row r="185" customFormat="false" ht="23.85" hidden="false" customHeight="false" outlineLevel="0" collapsed="false">
      <c r="A185" s="9" t="s">
        <v>316</v>
      </c>
      <c r="B185" s="9" t="n">
        <v>713</v>
      </c>
      <c r="C185" s="10" t="s">
        <v>532</v>
      </c>
      <c r="D185" s="10" t="s">
        <v>451</v>
      </c>
      <c r="E185" s="9" t="s">
        <v>50</v>
      </c>
      <c r="F185" s="9" t="s">
        <v>365</v>
      </c>
      <c r="G185" s="11" t="n">
        <v>46301</v>
      </c>
      <c r="H185" s="11" t="n">
        <v>46666</v>
      </c>
      <c r="I185" s="12" t="n">
        <f aca="true">IF(H185="","",H185-TODAY())</f>
        <v>359</v>
      </c>
      <c r="J185" s="10" t="s">
        <v>533</v>
      </c>
      <c r="K185" s="13" t="s">
        <v>53</v>
      </c>
      <c r="L185" s="14"/>
      <c r="M185" s="15"/>
      <c r="N185" s="16"/>
      <c r="O185" s="15"/>
      <c r="P185" s="16"/>
      <c r="Q185" s="15"/>
      <c r="R185" s="14"/>
    </row>
    <row r="186" customFormat="false" ht="23.85" hidden="false" customHeight="false" outlineLevel="0" collapsed="false">
      <c r="A186" s="9" t="s">
        <v>316</v>
      </c>
      <c r="B186" s="9" t="n">
        <v>66</v>
      </c>
      <c r="C186" s="10" t="s">
        <v>534</v>
      </c>
      <c r="D186" s="10" t="s">
        <v>535</v>
      </c>
      <c r="E186" s="9" t="s">
        <v>50</v>
      </c>
      <c r="F186" s="9" t="s">
        <v>51</v>
      </c>
      <c r="G186" s="11" t="n">
        <v>46303</v>
      </c>
      <c r="H186" s="11" t="n">
        <v>46668</v>
      </c>
      <c r="I186" s="12" t="n">
        <f aca="true">IF(H186="","",H186-TODAY())</f>
        <v>361</v>
      </c>
      <c r="J186" s="10" t="s">
        <v>536</v>
      </c>
      <c r="K186" s="13" t="s">
        <v>53</v>
      </c>
      <c r="L186" s="14"/>
      <c r="M186" s="15"/>
      <c r="N186" s="16"/>
      <c r="O186" s="15"/>
      <c r="P186" s="16"/>
      <c r="Q186" s="15"/>
      <c r="R186" s="14"/>
    </row>
    <row r="187" customFormat="false" ht="23.85" hidden="false" customHeight="false" outlineLevel="0" collapsed="false">
      <c r="A187" s="9" t="s">
        <v>316</v>
      </c>
      <c r="B187" s="9" t="n">
        <v>134</v>
      </c>
      <c r="C187" s="10" t="s">
        <v>537</v>
      </c>
      <c r="D187" s="10" t="s">
        <v>535</v>
      </c>
      <c r="E187" s="9" t="s">
        <v>59</v>
      </c>
      <c r="F187" s="9" t="s">
        <v>51</v>
      </c>
      <c r="G187" s="11" t="n">
        <v>46303</v>
      </c>
      <c r="H187" s="11" t="n">
        <v>46668</v>
      </c>
      <c r="I187" s="12" t="n">
        <f aca="true">IF(H187="","",H187-TODAY())</f>
        <v>361</v>
      </c>
      <c r="J187" s="10" t="s">
        <v>538</v>
      </c>
      <c r="K187" s="13" t="s">
        <v>53</v>
      </c>
      <c r="L187" s="14"/>
      <c r="M187" s="15"/>
      <c r="N187" s="16"/>
      <c r="O187" s="15"/>
      <c r="P187" s="16"/>
      <c r="Q187" s="15"/>
      <c r="R187" s="14"/>
    </row>
    <row r="188" customFormat="false" ht="35.05" hidden="false" customHeight="false" outlineLevel="0" collapsed="false">
      <c r="A188" s="9" t="s">
        <v>316</v>
      </c>
      <c r="B188" s="9" t="n">
        <v>1095</v>
      </c>
      <c r="C188" s="10" t="s">
        <v>539</v>
      </c>
      <c r="D188" s="10" t="s">
        <v>540</v>
      </c>
      <c r="E188" s="9" t="s">
        <v>59</v>
      </c>
      <c r="F188" s="9" t="s">
        <v>51</v>
      </c>
      <c r="G188" s="11" t="n">
        <v>46304</v>
      </c>
      <c r="H188" s="11" t="n">
        <v>46669</v>
      </c>
      <c r="I188" s="12" t="n">
        <f aca="true">IF(H188="","",H188-TODAY())</f>
        <v>362</v>
      </c>
      <c r="J188" s="10" t="s">
        <v>541</v>
      </c>
      <c r="K188" s="13" t="s">
        <v>53</v>
      </c>
      <c r="L188" s="14"/>
      <c r="M188" s="15"/>
      <c r="N188" s="16"/>
      <c r="O188" s="15"/>
      <c r="P188" s="16"/>
      <c r="Q188" s="15"/>
      <c r="R188" s="14"/>
    </row>
    <row r="189" customFormat="false" ht="35.05" hidden="false" customHeight="false" outlineLevel="0" collapsed="false">
      <c r="A189" s="9" t="s">
        <v>542</v>
      </c>
      <c r="B189" s="9" t="n">
        <v>455</v>
      </c>
      <c r="C189" s="10" t="s">
        <v>543</v>
      </c>
      <c r="D189" s="10" t="s">
        <v>544</v>
      </c>
      <c r="E189" s="9" t="s">
        <v>50</v>
      </c>
      <c r="F189" s="9" t="s">
        <v>63</v>
      </c>
      <c r="G189" s="11" t="n">
        <v>45597</v>
      </c>
      <c r="H189" s="11"/>
      <c r="I189" s="12" t="str">
        <f aca="true">IF(H189="","",H189-TODAY())</f>
        <v/>
      </c>
      <c r="J189" s="10" t="s">
        <v>545</v>
      </c>
      <c r="K189" s="13" t="s">
        <v>53</v>
      </c>
      <c r="L189" s="14"/>
      <c r="M189" s="15"/>
      <c r="N189" s="16"/>
      <c r="O189" s="15"/>
      <c r="P189" s="16"/>
      <c r="Q189" s="15"/>
      <c r="R189" s="14"/>
    </row>
    <row r="190" customFormat="false" ht="23.85" hidden="false" customHeight="false" outlineLevel="0" collapsed="false">
      <c r="A190" s="9" t="s">
        <v>542</v>
      </c>
      <c r="B190" s="9" t="n">
        <v>361</v>
      </c>
      <c r="C190" s="10" t="s">
        <v>546</v>
      </c>
      <c r="D190" s="10" t="s">
        <v>547</v>
      </c>
      <c r="E190" s="9" t="s">
        <v>59</v>
      </c>
      <c r="F190" s="9" t="s">
        <v>98</v>
      </c>
      <c r="G190" s="11"/>
      <c r="H190" s="11"/>
      <c r="I190" s="12" t="str">
        <f aca="true">IF(H190="","",H190-TODAY())</f>
        <v/>
      </c>
      <c r="J190" s="10" t="s">
        <v>548</v>
      </c>
      <c r="K190" s="13" t="s">
        <v>53</v>
      </c>
      <c r="L190" s="14"/>
      <c r="M190" s="15"/>
      <c r="N190" s="16"/>
      <c r="O190" s="15"/>
      <c r="P190" s="16"/>
      <c r="Q190" s="15"/>
      <c r="R190" s="14"/>
    </row>
    <row r="191" customFormat="false" ht="15" hidden="false" customHeight="false" outlineLevel="0" collapsed="false">
      <c r="A191" s="9" t="s">
        <v>542</v>
      </c>
      <c r="B191" s="9" t="n">
        <v>179</v>
      </c>
      <c r="C191" s="10" t="s">
        <v>549</v>
      </c>
      <c r="D191" s="10" t="s">
        <v>550</v>
      </c>
      <c r="E191" s="9" t="s">
        <v>50</v>
      </c>
      <c r="F191" s="9" t="s">
        <v>51</v>
      </c>
      <c r="G191" s="11"/>
      <c r="H191" s="11"/>
      <c r="I191" s="12" t="str">
        <f aca="true">IF(H191="","",H191-TODAY())</f>
        <v/>
      </c>
      <c r="J191" s="10" t="s">
        <v>551</v>
      </c>
      <c r="K191" s="13" t="s">
        <v>53</v>
      </c>
      <c r="L191" s="14"/>
      <c r="M191" s="15"/>
      <c r="N191" s="16"/>
      <c r="O191" s="15"/>
      <c r="P191" s="16"/>
      <c r="Q191" s="15"/>
      <c r="R191" s="14"/>
    </row>
    <row r="192" customFormat="false" ht="35.05" hidden="false" customHeight="false" outlineLevel="0" collapsed="false">
      <c r="A192" s="9" t="s">
        <v>542</v>
      </c>
      <c r="B192" s="9" t="n">
        <v>958</v>
      </c>
      <c r="C192" s="10" t="s">
        <v>552</v>
      </c>
      <c r="D192" s="10" t="s">
        <v>553</v>
      </c>
      <c r="E192" s="9" t="s">
        <v>59</v>
      </c>
      <c r="F192" s="9" t="s">
        <v>63</v>
      </c>
      <c r="G192" s="11" t="n">
        <v>45662</v>
      </c>
      <c r="H192" s="11"/>
      <c r="I192" s="12" t="str">
        <f aca="true">IF(H192="","",H192-TODAY())</f>
        <v/>
      </c>
      <c r="J192" s="10" t="s">
        <v>554</v>
      </c>
      <c r="K192" s="13" t="s">
        <v>53</v>
      </c>
      <c r="L192" s="14"/>
      <c r="M192" s="15"/>
      <c r="N192" s="16"/>
      <c r="O192" s="15"/>
      <c r="P192" s="16"/>
      <c r="Q192" s="15"/>
      <c r="R192" s="14"/>
    </row>
    <row r="193" customFormat="false" ht="57.45" hidden="false" customHeight="false" outlineLevel="0" collapsed="false">
      <c r="A193" s="9" t="s">
        <v>542</v>
      </c>
      <c r="B193" s="9" t="n">
        <v>163</v>
      </c>
      <c r="C193" s="10" t="s">
        <v>555</v>
      </c>
      <c r="D193" s="10" t="s">
        <v>420</v>
      </c>
      <c r="E193" s="9" t="s">
        <v>59</v>
      </c>
      <c r="F193" s="9" t="s">
        <v>63</v>
      </c>
      <c r="G193" s="11"/>
      <c r="H193" s="11"/>
      <c r="I193" s="12" t="str">
        <f aca="true">IF(H193="","",H193-TODAY())</f>
        <v/>
      </c>
      <c r="J193" s="10" t="s">
        <v>556</v>
      </c>
      <c r="K193" s="13" t="s">
        <v>53</v>
      </c>
      <c r="L193" s="14"/>
      <c r="M193" s="15"/>
      <c r="N193" s="16"/>
      <c r="O193" s="15"/>
      <c r="P193" s="16"/>
      <c r="Q193" s="15"/>
      <c r="R193" s="14"/>
    </row>
    <row r="194" customFormat="false" ht="23.85" hidden="false" customHeight="false" outlineLevel="0" collapsed="false">
      <c r="A194" s="9" t="s">
        <v>542</v>
      </c>
      <c r="B194" s="9" t="n">
        <v>621</v>
      </c>
      <c r="C194" s="10" t="s">
        <v>557</v>
      </c>
      <c r="D194" s="10" t="s">
        <v>558</v>
      </c>
      <c r="E194" s="9" t="s">
        <v>59</v>
      </c>
      <c r="F194" s="9" t="s">
        <v>63</v>
      </c>
      <c r="G194" s="11" t="n">
        <v>45674</v>
      </c>
      <c r="H194" s="11"/>
      <c r="I194" s="12" t="str">
        <f aca="true">IF(H194="","",H194-TODAY())</f>
        <v/>
      </c>
      <c r="J194" s="10"/>
      <c r="K194" s="13" t="s">
        <v>53</v>
      </c>
      <c r="L194" s="14"/>
      <c r="M194" s="15"/>
      <c r="N194" s="16"/>
      <c r="O194" s="15"/>
      <c r="P194" s="16"/>
      <c r="Q194" s="15"/>
      <c r="R194" s="14"/>
    </row>
    <row r="195" customFormat="false" ht="23.85" hidden="false" customHeight="false" outlineLevel="0" collapsed="false">
      <c r="A195" s="9" t="s">
        <v>542</v>
      </c>
      <c r="B195" s="9" t="n">
        <v>189</v>
      </c>
      <c r="C195" s="10" t="s">
        <v>559</v>
      </c>
      <c r="D195" s="10" t="s">
        <v>560</v>
      </c>
      <c r="E195" s="9" t="s">
        <v>50</v>
      </c>
      <c r="F195" s="9" t="s">
        <v>63</v>
      </c>
      <c r="G195" s="11"/>
      <c r="H195" s="11"/>
      <c r="I195" s="12" t="str">
        <f aca="true">IF(H195="","",H195-TODAY())</f>
        <v/>
      </c>
      <c r="J195" s="10"/>
      <c r="K195" s="13" t="s">
        <v>53</v>
      </c>
      <c r="L195" s="14"/>
      <c r="M195" s="15"/>
      <c r="N195" s="16"/>
      <c r="O195" s="15"/>
      <c r="P195" s="16"/>
      <c r="Q195" s="15"/>
      <c r="R195" s="14"/>
    </row>
    <row r="196" customFormat="false" ht="57.45" hidden="false" customHeight="false" outlineLevel="0" collapsed="false">
      <c r="A196" s="9" t="s">
        <v>542</v>
      </c>
      <c r="B196" s="9" t="n">
        <v>395</v>
      </c>
      <c r="C196" s="10" t="s">
        <v>561</v>
      </c>
      <c r="D196" s="10" t="s">
        <v>562</v>
      </c>
      <c r="E196" s="9" t="s">
        <v>50</v>
      </c>
      <c r="F196" s="9" t="s">
        <v>51</v>
      </c>
      <c r="G196" s="11"/>
      <c r="H196" s="11"/>
      <c r="I196" s="12" t="str">
        <f aca="true">IF(H196="","",H196-TODAY())</f>
        <v/>
      </c>
      <c r="J196" s="10" t="s">
        <v>563</v>
      </c>
      <c r="K196" s="13" t="s">
        <v>53</v>
      </c>
      <c r="L196" s="14"/>
      <c r="M196" s="15"/>
      <c r="N196" s="16"/>
      <c r="O196" s="15"/>
      <c r="P196" s="16"/>
      <c r="Q196" s="15"/>
      <c r="R196" s="14"/>
    </row>
    <row r="197" customFormat="false" ht="35.05" hidden="false" customHeight="false" outlineLevel="0" collapsed="false">
      <c r="A197" s="9" t="s">
        <v>542</v>
      </c>
      <c r="B197" s="9" t="n">
        <v>584</v>
      </c>
      <c r="C197" s="10" t="s">
        <v>564</v>
      </c>
      <c r="D197" s="10" t="s">
        <v>565</v>
      </c>
      <c r="E197" s="9" t="s">
        <v>59</v>
      </c>
      <c r="F197" s="9" t="s">
        <v>365</v>
      </c>
      <c r="G197" s="11" t="n">
        <v>45639</v>
      </c>
      <c r="H197" s="11"/>
      <c r="I197" s="12" t="str">
        <f aca="true">IF(H197="","",H197-TODAY())</f>
        <v/>
      </c>
      <c r="J197" s="10" t="s">
        <v>566</v>
      </c>
      <c r="K197" s="13" t="s">
        <v>53</v>
      </c>
      <c r="L197" s="14"/>
      <c r="M197" s="15"/>
      <c r="N197" s="16"/>
      <c r="O197" s="15"/>
      <c r="P197" s="16"/>
      <c r="Q197" s="15"/>
      <c r="R197" s="14"/>
    </row>
    <row r="198" customFormat="false" ht="23.85" hidden="false" customHeight="false" outlineLevel="0" collapsed="false">
      <c r="A198" s="9" t="s">
        <v>542</v>
      </c>
      <c r="B198" s="9" t="n">
        <v>1117</v>
      </c>
      <c r="C198" s="10" t="s">
        <v>567</v>
      </c>
      <c r="D198" s="10" t="s">
        <v>568</v>
      </c>
      <c r="E198" s="9" t="s">
        <v>50</v>
      </c>
      <c r="F198" s="9" t="s">
        <v>63</v>
      </c>
      <c r="G198" s="11" t="n">
        <v>45695</v>
      </c>
      <c r="H198" s="11"/>
      <c r="I198" s="12" t="str">
        <f aca="true">IF(H198="","",H198-TODAY())</f>
        <v/>
      </c>
      <c r="J198" s="10"/>
      <c r="K198" s="13" t="s">
        <v>53</v>
      </c>
      <c r="L198" s="14"/>
      <c r="M198" s="15"/>
      <c r="N198" s="16"/>
      <c r="O198" s="15"/>
      <c r="P198" s="16"/>
      <c r="Q198" s="15"/>
      <c r="R198" s="14"/>
    </row>
    <row r="199" customFormat="false" ht="23.85" hidden="false" customHeight="false" outlineLevel="0" collapsed="false">
      <c r="A199" s="9" t="s">
        <v>542</v>
      </c>
      <c r="B199" s="9" t="n">
        <v>519</v>
      </c>
      <c r="C199" s="10" t="s">
        <v>569</v>
      </c>
      <c r="D199" s="10" t="s">
        <v>570</v>
      </c>
      <c r="E199" s="9" t="s">
        <v>50</v>
      </c>
      <c r="F199" s="9" t="s">
        <v>51</v>
      </c>
      <c r="G199" s="11"/>
      <c r="H199" s="11"/>
      <c r="I199" s="12" t="str">
        <f aca="true">IF(H199="","",H199-TODAY())</f>
        <v/>
      </c>
      <c r="J199" s="10" t="s">
        <v>571</v>
      </c>
      <c r="K199" s="13" t="s">
        <v>53</v>
      </c>
      <c r="L199" s="14"/>
      <c r="M199" s="15"/>
      <c r="N199" s="16"/>
      <c r="O199" s="15"/>
      <c r="P199" s="16"/>
      <c r="Q199" s="15"/>
      <c r="R199" s="14"/>
    </row>
    <row r="200" customFormat="false" ht="23.85" hidden="false" customHeight="false" outlineLevel="0" collapsed="false">
      <c r="A200" s="9" t="s">
        <v>542</v>
      </c>
      <c r="B200" s="9" t="n">
        <v>547</v>
      </c>
      <c r="C200" s="10" t="s">
        <v>572</v>
      </c>
      <c r="D200" s="10" t="s">
        <v>573</v>
      </c>
      <c r="E200" s="9" t="s">
        <v>50</v>
      </c>
      <c r="F200" s="9" t="s">
        <v>51</v>
      </c>
      <c r="G200" s="11" t="n">
        <v>45227</v>
      </c>
      <c r="H200" s="11"/>
      <c r="I200" s="12" t="str">
        <f aca="true">IF(H200="","",H200-TODAY())</f>
        <v/>
      </c>
      <c r="J200" s="10"/>
      <c r="K200" s="13" t="s">
        <v>53</v>
      </c>
      <c r="L200" s="14"/>
      <c r="M200" s="15"/>
      <c r="N200" s="16"/>
      <c r="O200" s="15"/>
      <c r="P200" s="16"/>
      <c r="Q200" s="15"/>
      <c r="R200" s="14"/>
    </row>
    <row r="201" customFormat="false" ht="23.85" hidden="false" customHeight="false" outlineLevel="0" collapsed="false">
      <c r="A201" s="9" t="s">
        <v>542</v>
      </c>
      <c r="B201" s="9" t="n">
        <v>438</v>
      </c>
      <c r="C201" s="10" t="s">
        <v>574</v>
      </c>
      <c r="D201" s="10" t="s">
        <v>575</v>
      </c>
      <c r="E201" s="9" t="s">
        <v>50</v>
      </c>
      <c r="F201" s="9" t="s">
        <v>365</v>
      </c>
      <c r="G201" s="11"/>
      <c r="H201" s="11"/>
      <c r="I201" s="12" t="str">
        <f aca="true">IF(H201="","",H201-TODAY())</f>
        <v/>
      </c>
      <c r="J201" s="10" t="s">
        <v>503</v>
      </c>
      <c r="K201" s="13" t="s">
        <v>53</v>
      </c>
      <c r="L201" s="14"/>
      <c r="M201" s="15"/>
      <c r="N201" s="16"/>
      <c r="O201" s="15"/>
      <c r="P201" s="16"/>
      <c r="Q201" s="15"/>
      <c r="R201" s="14"/>
    </row>
    <row r="202" customFormat="false" ht="57.45" hidden="false" customHeight="false" outlineLevel="0" collapsed="false">
      <c r="A202" s="9" t="s">
        <v>542</v>
      </c>
      <c r="B202" s="9" t="n">
        <v>270</v>
      </c>
      <c r="C202" s="10" t="s">
        <v>576</v>
      </c>
      <c r="D202" s="10" t="s">
        <v>577</v>
      </c>
      <c r="E202" s="9" t="s">
        <v>59</v>
      </c>
      <c r="F202" s="9" t="s">
        <v>63</v>
      </c>
      <c r="G202" s="11" t="n">
        <v>45689</v>
      </c>
      <c r="H202" s="11"/>
      <c r="I202" s="12" t="str">
        <f aca="true">IF(H202="","",H202-TODAY())</f>
        <v/>
      </c>
      <c r="J202" s="10" t="s">
        <v>578</v>
      </c>
      <c r="K202" s="13" t="s">
        <v>53</v>
      </c>
      <c r="L202" s="14"/>
      <c r="M202" s="15"/>
      <c r="N202" s="16"/>
      <c r="O202" s="15"/>
      <c r="P202" s="16"/>
      <c r="Q202" s="15"/>
      <c r="R202" s="14"/>
    </row>
    <row r="203" customFormat="false" ht="15" hidden="false" customHeight="false" outlineLevel="0" collapsed="false">
      <c r="A203" s="9" t="s">
        <v>542</v>
      </c>
      <c r="B203" s="9" t="n">
        <v>299</v>
      </c>
      <c r="C203" s="10" t="s">
        <v>579</v>
      </c>
      <c r="D203" s="10" t="s">
        <v>580</v>
      </c>
      <c r="E203" s="9" t="s">
        <v>59</v>
      </c>
      <c r="F203" s="9" t="s">
        <v>63</v>
      </c>
      <c r="G203" s="11"/>
      <c r="H203" s="11"/>
      <c r="I203" s="12" t="str">
        <f aca="true">IF(H203="","",H203-TODAY())</f>
        <v/>
      </c>
      <c r="J203" s="10"/>
      <c r="K203" s="13" t="s">
        <v>53</v>
      </c>
      <c r="L203" s="14"/>
      <c r="M203" s="15"/>
      <c r="N203" s="16"/>
      <c r="O203" s="15"/>
      <c r="P203" s="16"/>
      <c r="Q203" s="15"/>
      <c r="R203" s="14"/>
    </row>
    <row r="204" customFormat="false" ht="35.05" hidden="false" customHeight="false" outlineLevel="0" collapsed="false">
      <c r="A204" s="9" t="s">
        <v>542</v>
      </c>
      <c r="B204" s="9" t="n">
        <v>22</v>
      </c>
      <c r="C204" s="10" t="s">
        <v>581</v>
      </c>
      <c r="D204" s="10" t="s">
        <v>451</v>
      </c>
      <c r="E204" s="9" t="s">
        <v>50</v>
      </c>
      <c r="F204" s="9" t="s">
        <v>365</v>
      </c>
      <c r="G204" s="11"/>
      <c r="H204" s="11"/>
      <c r="I204" s="12" t="str">
        <f aca="true">IF(H204="","",H204-TODAY())</f>
        <v/>
      </c>
      <c r="J204" s="10" t="s">
        <v>582</v>
      </c>
      <c r="K204" s="13" t="s">
        <v>53</v>
      </c>
      <c r="L204" s="14"/>
      <c r="M204" s="15"/>
      <c r="N204" s="16"/>
      <c r="O204" s="15"/>
      <c r="P204" s="16"/>
      <c r="Q204" s="15"/>
      <c r="R204" s="14"/>
    </row>
    <row r="205" customFormat="false" ht="35.05" hidden="false" customHeight="false" outlineLevel="0" collapsed="false">
      <c r="A205" s="9" t="s">
        <v>542</v>
      </c>
      <c r="B205" s="9" t="n">
        <v>776</v>
      </c>
      <c r="C205" s="10" t="s">
        <v>583</v>
      </c>
      <c r="D205" s="10" t="s">
        <v>186</v>
      </c>
      <c r="E205" s="9" t="s">
        <v>59</v>
      </c>
      <c r="F205" s="9" t="s">
        <v>98</v>
      </c>
      <c r="G205" s="11"/>
      <c r="H205" s="11"/>
      <c r="I205" s="12" t="str">
        <f aca="true">IF(H205="","",H205-TODAY())</f>
        <v/>
      </c>
      <c r="J205" s="10" t="s">
        <v>584</v>
      </c>
      <c r="K205" s="13" t="s">
        <v>53</v>
      </c>
      <c r="L205" s="14"/>
      <c r="M205" s="15"/>
      <c r="N205" s="16"/>
      <c r="O205" s="15"/>
      <c r="P205" s="16"/>
      <c r="Q205" s="15"/>
      <c r="R205" s="14"/>
    </row>
    <row r="206" customFormat="false" ht="23.85" hidden="false" customHeight="false" outlineLevel="0" collapsed="false">
      <c r="A206" s="9" t="s">
        <v>542</v>
      </c>
      <c r="B206" s="9" t="n">
        <v>535</v>
      </c>
      <c r="C206" s="10" t="s">
        <v>585</v>
      </c>
      <c r="D206" s="10" t="s">
        <v>586</v>
      </c>
      <c r="E206" s="9" t="s">
        <v>59</v>
      </c>
      <c r="F206" s="9" t="s">
        <v>63</v>
      </c>
      <c r="G206" s="11" t="n">
        <v>45747</v>
      </c>
      <c r="H206" s="11"/>
      <c r="I206" s="12" t="str">
        <f aca="true">IF(H206="","",H206-TODAY())</f>
        <v/>
      </c>
      <c r="J206" s="10" t="s">
        <v>587</v>
      </c>
      <c r="K206" s="13" t="s">
        <v>53</v>
      </c>
      <c r="L206" s="14"/>
      <c r="M206" s="15"/>
      <c r="N206" s="16"/>
      <c r="O206" s="15"/>
      <c r="P206" s="16"/>
      <c r="Q206" s="15"/>
      <c r="R206" s="14"/>
    </row>
    <row r="207" customFormat="false" ht="15" hidden="false" customHeight="false" outlineLevel="0" collapsed="false">
      <c r="A207" s="9" t="s">
        <v>542</v>
      </c>
      <c r="B207" s="9" t="n">
        <v>536</v>
      </c>
      <c r="C207" s="10" t="s">
        <v>588</v>
      </c>
      <c r="D207" s="10" t="s">
        <v>589</v>
      </c>
      <c r="E207" s="9" t="s">
        <v>59</v>
      </c>
      <c r="F207" s="9" t="s">
        <v>63</v>
      </c>
      <c r="G207" s="11" t="n">
        <v>45657</v>
      </c>
      <c r="H207" s="11"/>
      <c r="I207" s="12" t="str">
        <f aca="true">IF(H207="","",H207-TODAY())</f>
        <v/>
      </c>
      <c r="J207" s="10" t="s">
        <v>590</v>
      </c>
      <c r="K207" s="13" t="s">
        <v>53</v>
      </c>
      <c r="L207" s="14"/>
      <c r="M207" s="15"/>
      <c r="N207" s="16"/>
      <c r="O207" s="15"/>
      <c r="P207" s="16"/>
      <c r="Q207" s="15"/>
      <c r="R207" s="14"/>
    </row>
    <row r="208" customFormat="false" ht="46.25" hidden="false" customHeight="false" outlineLevel="0" collapsed="false">
      <c r="A208" s="9" t="s">
        <v>542</v>
      </c>
      <c r="B208" s="9" t="n">
        <v>907</v>
      </c>
      <c r="C208" s="10" t="s">
        <v>591</v>
      </c>
      <c r="D208" s="10" t="s">
        <v>592</v>
      </c>
      <c r="E208" s="9" t="s">
        <v>50</v>
      </c>
      <c r="F208" s="9" t="s">
        <v>63</v>
      </c>
      <c r="G208" s="11" t="n">
        <v>44254</v>
      </c>
      <c r="H208" s="11"/>
      <c r="I208" s="12" t="str">
        <f aca="true">IF(H208="","",H208-TODAY())</f>
        <v/>
      </c>
      <c r="J208" s="10" t="s">
        <v>593</v>
      </c>
      <c r="K208" s="13" t="s">
        <v>53</v>
      </c>
      <c r="L208" s="14"/>
      <c r="M208" s="15"/>
      <c r="N208" s="16"/>
      <c r="O208" s="15"/>
      <c r="P208" s="16"/>
      <c r="Q208" s="15"/>
      <c r="R208" s="14"/>
    </row>
    <row r="209" customFormat="false" ht="23.85" hidden="false" customHeight="false" outlineLevel="0" collapsed="false">
      <c r="A209" s="9" t="s">
        <v>542</v>
      </c>
      <c r="B209" s="9" t="n">
        <v>444</v>
      </c>
      <c r="C209" s="10" t="s">
        <v>594</v>
      </c>
      <c r="D209" s="10" t="s">
        <v>595</v>
      </c>
      <c r="E209" s="9" t="s">
        <v>50</v>
      </c>
      <c r="F209" s="9" t="s">
        <v>98</v>
      </c>
      <c r="G209" s="11"/>
      <c r="H209" s="11"/>
      <c r="I209" s="12" t="str">
        <f aca="true">IF(H209="","",H209-TODAY())</f>
        <v/>
      </c>
      <c r="J209" s="10"/>
      <c r="K209" s="13" t="s">
        <v>53</v>
      </c>
      <c r="L209" s="14"/>
      <c r="M209" s="15"/>
      <c r="N209" s="16"/>
      <c r="O209" s="15"/>
      <c r="P209" s="16"/>
      <c r="Q209" s="15"/>
      <c r="R209" s="14"/>
    </row>
    <row r="210" customFormat="false" ht="23.85" hidden="false" customHeight="false" outlineLevel="0" collapsed="false">
      <c r="A210" s="9" t="s">
        <v>542</v>
      </c>
      <c r="B210" s="9" t="n">
        <v>1114</v>
      </c>
      <c r="C210" s="10" t="s">
        <v>596</v>
      </c>
      <c r="D210" s="10" t="s">
        <v>597</v>
      </c>
      <c r="E210" s="9" t="s">
        <v>50</v>
      </c>
      <c r="F210" s="9" t="s">
        <v>98</v>
      </c>
      <c r="G210" s="11"/>
      <c r="H210" s="11"/>
      <c r="I210" s="12" t="str">
        <f aca="true">IF(H210="","",H210-TODAY())</f>
        <v/>
      </c>
      <c r="J210" s="10" t="s">
        <v>598</v>
      </c>
      <c r="K210" s="13" t="s">
        <v>53</v>
      </c>
      <c r="L210" s="14"/>
      <c r="M210" s="15"/>
      <c r="N210" s="16"/>
      <c r="O210" s="15"/>
      <c r="P210" s="16"/>
      <c r="Q210" s="15"/>
      <c r="R210" s="14"/>
    </row>
    <row r="211" customFormat="false" ht="15" hidden="false" customHeight="false" outlineLevel="0" collapsed="false">
      <c r="A211" s="9" t="s">
        <v>542</v>
      </c>
      <c r="B211" s="9" t="n">
        <v>225</v>
      </c>
      <c r="C211" s="10" t="s">
        <v>599</v>
      </c>
      <c r="D211" s="10" t="s">
        <v>600</v>
      </c>
      <c r="E211" s="9" t="s">
        <v>50</v>
      </c>
      <c r="F211" s="9" t="s">
        <v>63</v>
      </c>
      <c r="G211" s="11"/>
      <c r="H211" s="11"/>
      <c r="I211" s="12" t="str">
        <f aca="true">IF(H211="","",H211-TODAY())</f>
        <v/>
      </c>
      <c r="J211" s="10"/>
      <c r="K211" s="13" t="s">
        <v>53</v>
      </c>
      <c r="L211" s="14"/>
      <c r="M211" s="15"/>
      <c r="N211" s="16"/>
      <c r="O211" s="15"/>
      <c r="P211" s="16"/>
      <c r="Q211" s="15"/>
      <c r="R211" s="14"/>
    </row>
    <row r="212" customFormat="false" ht="23.85" hidden="false" customHeight="false" outlineLevel="0" collapsed="false">
      <c r="A212" s="9" t="s">
        <v>542</v>
      </c>
      <c r="B212" s="9" t="n">
        <v>1108</v>
      </c>
      <c r="C212" s="10" t="s">
        <v>601</v>
      </c>
      <c r="D212" s="10" t="s">
        <v>602</v>
      </c>
      <c r="E212" s="9" t="s">
        <v>50</v>
      </c>
      <c r="F212" s="9" t="s">
        <v>98</v>
      </c>
      <c r="G212" s="11" t="n">
        <v>45723</v>
      </c>
      <c r="H212" s="11"/>
      <c r="I212" s="12" t="str">
        <f aca="true">IF(H212="","",H212-TODAY())</f>
        <v/>
      </c>
      <c r="J212" s="10" t="s">
        <v>603</v>
      </c>
      <c r="K212" s="13" t="s">
        <v>53</v>
      </c>
      <c r="L212" s="14"/>
      <c r="M212" s="15"/>
      <c r="N212" s="16"/>
      <c r="O212" s="15"/>
      <c r="P212" s="16"/>
      <c r="Q212" s="15"/>
      <c r="R212" s="14"/>
    </row>
    <row r="213" customFormat="false" ht="35.05" hidden="false" customHeight="false" outlineLevel="0" collapsed="false">
      <c r="A213" s="9" t="s">
        <v>542</v>
      </c>
      <c r="B213" s="9" t="n">
        <v>1011</v>
      </c>
      <c r="C213" s="10" t="s">
        <v>604</v>
      </c>
      <c r="D213" s="10" t="s">
        <v>605</v>
      </c>
      <c r="E213" s="9" t="s">
        <v>50</v>
      </c>
      <c r="F213" s="9" t="s">
        <v>63</v>
      </c>
      <c r="G213" s="11"/>
      <c r="H213" s="11"/>
      <c r="I213" s="12" t="str">
        <f aca="true">IF(H213="","",H213-TODAY())</f>
        <v/>
      </c>
      <c r="J213" s="10" t="s">
        <v>606</v>
      </c>
      <c r="K213" s="13" t="s">
        <v>53</v>
      </c>
      <c r="L213" s="14"/>
      <c r="M213" s="15"/>
      <c r="N213" s="16"/>
      <c r="O213" s="15"/>
      <c r="P213" s="16"/>
      <c r="Q213" s="15"/>
      <c r="R213" s="14"/>
    </row>
    <row r="214" customFormat="false" ht="23.85" hidden="false" customHeight="false" outlineLevel="0" collapsed="false">
      <c r="A214" s="9" t="s">
        <v>542</v>
      </c>
      <c r="B214" s="9" t="n">
        <v>258</v>
      </c>
      <c r="C214" s="10" t="s">
        <v>607</v>
      </c>
      <c r="D214" s="10" t="s">
        <v>164</v>
      </c>
      <c r="E214" s="9" t="s">
        <v>50</v>
      </c>
      <c r="F214" s="9" t="s">
        <v>63</v>
      </c>
      <c r="G214" s="11" t="n">
        <v>45686</v>
      </c>
      <c r="H214" s="11"/>
      <c r="I214" s="12" t="str">
        <f aca="true">IF(H214="","",H214-TODAY())</f>
        <v/>
      </c>
      <c r="J214" s="10" t="s">
        <v>608</v>
      </c>
      <c r="K214" s="13" t="s">
        <v>53</v>
      </c>
      <c r="L214" s="14"/>
      <c r="M214" s="15"/>
      <c r="N214" s="16"/>
      <c r="O214" s="15"/>
      <c r="P214" s="16"/>
      <c r="Q214" s="15"/>
      <c r="R214" s="14"/>
    </row>
    <row r="215" customFormat="false" ht="23.85" hidden="false" customHeight="false" outlineLevel="0" collapsed="false">
      <c r="A215" s="9" t="s">
        <v>542</v>
      </c>
      <c r="B215" s="9" t="n">
        <v>564</v>
      </c>
      <c r="C215" s="10" t="s">
        <v>609</v>
      </c>
      <c r="D215" s="10" t="s">
        <v>610</v>
      </c>
      <c r="E215" s="9" t="s">
        <v>59</v>
      </c>
      <c r="F215" s="9" t="s">
        <v>63</v>
      </c>
      <c r="G215" s="11" t="n">
        <v>45691</v>
      </c>
      <c r="H215" s="11"/>
      <c r="I215" s="12" t="str">
        <f aca="true">IF(H215="","",H215-TODAY())</f>
        <v/>
      </c>
      <c r="J215" s="10" t="s">
        <v>611</v>
      </c>
      <c r="K215" s="13" t="s">
        <v>53</v>
      </c>
      <c r="L215" s="14"/>
      <c r="M215" s="15"/>
      <c r="N215" s="16"/>
      <c r="O215" s="15"/>
      <c r="P215" s="16"/>
      <c r="Q215" s="15"/>
      <c r="R215" s="14"/>
    </row>
    <row r="216" customFormat="false" ht="23.85" hidden="false" customHeight="false" outlineLevel="0" collapsed="false">
      <c r="A216" s="9" t="s">
        <v>542</v>
      </c>
      <c r="B216" s="9" t="n">
        <v>799</v>
      </c>
      <c r="C216" s="10" t="s">
        <v>612</v>
      </c>
      <c r="D216" s="10" t="s">
        <v>613</v>
      </c>
      <c r="E216" s="9" t="s">
        <v>59</v>
      </c>
      <c r="F216" s="9" t="s">
        <v>63</v>
      </c>
      <c r="G216" s="11" t="n">
        <v>45688</v>
      </c>
      <c r="H216" s="11"/>
      <c r="I216" s="12" t="str">
        <f aca="true">IF(H216="","",H216-TODAY())</f>
        <v/>
      </c>
      <c r="J216" s="10" t="s">
        <v>614</v>
      </c>
      <c r="K216" s="13" t="s">
        <v>53</v>
      </c>
      <c r="L216" s="14"/>
      <c r="M216" s="15"/>
      <c r="N216" s="16"/>
      <c r="O216" s="15"/>
      <c r="P216" s="16"/>
      <c r="Q216" s="15"/>
      <c r="R216" s="14"/>
    </row>
    <row r="217" customFormat="false" ht="23.85" hidden="false" customHeight="false" outlineLevel="0" collapsed="false">
      <c r="A217" s="9" t="s">
        <v>542</v>
      </c>
      <c r="B217" s="9" t="n">
        <v>276</v>
      </c>
      <c r="C217" s="10" t="s">
        <v>615</v>
      </c>
      <c r="D217" s="10" t="s">
        <v>616</v>
      </c>
      <c r="E217" s="9" t="s">
        <v>59</v>
      </c>
      <c r="F217" s="9" t="s">
        <v>63</v>
      </c>
      <c r="G217" s="11" t="n">
        <v>45703</v>
      </c>
      <c r="H217" s="11"/>
      <c r="I217" s="12" t="str">
        <f aca="true">IF(H217="","",H217-TODAY())</f>
        <v/>
      </c>
      <c r="J217" s="10" t="s">
        <v>617</v>
      </c>
      <c r="K217" s="13" t="s">
        <v>53</v>
      </c>
      <c r="L217" s="14"/>
      <c r="M217" s="15"/>
      <c r="N217" s="16"/>
      <c r="O217" s="15"/>
      <c r="P217" s="16"/>
      <c r="Q217" s="15"/>
      <c r="R217" s="14"/>
    </row>
    <row r="218" customFormat="false" ht="15" hidden="false" customHeight="false" outlineLevel="0" collapsed="false">
      <c r="A218" s="9" t="s">
        <v>542</v>
      </c>
      <c r="B218" s="9" t="n">
        <v>238</v>
      </c>
      <c r="C218" s="10" t="s">
        <v>618</v>
      </c>
      <c r="D218" s="10" t="s">
        <v>619</v>
      </c>
      <c r="E218" s="9" t="s">
        <v>59</v>
      </c>
      <c r="F218" s="9" t="s">
        <v>98</v>
      </c>
      <c r="G218" s="11" t="n">
        <v>45688</v>
      </c>
      <c r="H218" s="11"/>
      <c r="I218" s="12" t="str">
        <f aca="true">IF(H218="","",H218-TODAY())</f>
        <v/>
      </c>
      <c r="J218" s="10"/>
      <c r="K218" s="13" t="s">
        <v>53</v>
      </c>
      <c r="L218" s="14"/>
      <c r="M218" s="15"/>
      <c r="N218" s="16"/>
      <c r="O218" s="15"/>
      <c r="P218" s="16"/>
      <c r="Q218" s="15"/>
      <c r="R218" s="14"/>
    </row>
    <row r="219" customFormat="false" ht="23.85" hidden="false" customHeight="false" outlineLevel="0" collapsed="false">
      <c r="A219" s="9" t="s">
        <v>542</v>
      </c>
      <c r="B219" s="9" t="n">
        <v>52</v>
      </c>
      <c r="C219" s="10" t="s">
        <v>620</v>
      </c>
      <c r="D219" s="10" t="s">
        <v>621</v>
      </c>
      <c r="E219" s="9" t="s">
        <v>50</v>
      </c>
      <c r="F219" s="9" t="s">
        <v>63</v>
      </c>
      <c r="G219" s="11" t="n">
        <v>45684</v>
      </c>
      <c r="H219" s="11"/>
      <c r="I219" s="12" t="str">
        <f aca="true">IF(H219="","",H219-TODAY())</f>
        <v/>
      </c>
      <c r="J219" s="10"/>
      <c r="K219" s="13" t="s">
        <v>53</v>
      </c>
      <c r="L219" s="14"/>
      <c r="M219" s="15"/>
      <c r="N219" s="16"/>
      <c r="O219" s="15"/>
      <c r="P219" s="16"/>
      <c r="Q219" s="15"/>
      <c r="R219" s="14"/>
    </row>
    <row r="220" customFormat="false" ht="23.85" hidden="false" customHeight="false" outlineLevel="0" collapsed="false">
      <c r="A220" s="9" t="s">
        <v>542</v>
      </c>
      <c r="B220" s="9" t="n">
        <v>231</v>
      </c>
      <c r="C220" s="10" t="s">
        <v>622</v>
      </c>
      <c r="D220" s="10" t="s">
        <v>623</v>
      </c>
      <c r="E220" s="9" t="s">
        <v>59</v>
      </c>
      <c r="F220" s="9" t="s">
        <v>63</v>
      </c>
      <c r="G220" s="11" t="n">
        <v>45672</v>
      </c>
      <c r="H220" s="11"/>
      <c r="I220" s="12" t="str">
        <f aca="true">IF(H220="","",H220-TODAY())</f>
        <v/>
      </c>
      <c r="J220" s="10" t="s">
        <v>624</v>
      </c>
      <c r="K220" s="13" t="s">
        <v>53</v>
      </c>
      <c r="L220" s="14"/>
      <c r="M220" s="15"/>
      <c r="N220" s="16"/>
      <c r="O220" s="15"/>
      <c r="P220" s="16"/>
      <c r="Q220" s="15"/>
      <c r="R220" s="14"/>
    </row>
    <row r="221" customFormat="false" ht="23.85" hidden="false" customHeight="false" outlineLevel="0" collapsed="false">
      <c r="A221" s="9" t="s">
        <v>542</v>
      </c>
      <c r="B221" s="9" t="n">
        <v>976</v>
      </c>
      <c r="C221" s="10" t="s">
        <v>625</v>
      </c>
      <c r="D221" s="10" t="s">
        <v>626</v>
      </c>
      <c r="E221" s="9" t="s">
        <v>59</v>
      </c>
      <c r="F221" s="9" t="s">
        <v>98</v>
      </c>
      <c r="G221" s="11" t="n">
        <v>45615</v>
      </c>
      <c r="H221" s="11"/>
      <c r="I221" s="12" t="str">
        <f aca="true">IF(H221="","",H221-TODAY())</f>
        <v/>
      </c>
      <c r="J221" s="10"/>
      <c r="K221" s="13" t="s">
        <v>53</v>
      </c>
      <c r="L221" s="14"/>
      <c r="M221" s="15"/>
      <c r="N221" s="16"/>
      <c r="O221" s="15"/>
      <c r="P221" s="16"/>
      <c r="Q221" s="15"/>
      <c r="R221" s="14"/>
    </row>
    <row r="222" customFormat="false" ht="23.85" hidden="false" customHeight="false" outlineLevel="0" collapsed="false">
      <c r="A222" s="9" t="s">
        <v>542</v>
      </c>
      <c r="B222" s="9" t="n">
        <v>35</v>
      </c>
      <c r="C222" s="10" t="s">
        <v>627</v>
      </c>
      <c r="D222" s="10" t="s">
        <v>626</v>
      </c>
      <c r="E222" s="9" t="s">
        <v>59</v>
      </c>
      <c r="F222" s="9" t="s">
        <v>98</v>
      </c>
      <c r="G222" s="11" t="n">
        <v>45615</v>
      </c>
      <c r="H222" s="11"/>
      <c r="I222" s="12" t="str">
        <f aca="true">IF(H222="","",H222-TODAY())</f>
        <v/>
      </c>
      <c r="J222" s="10"/>
      <c r="K222" s="13" t="s">
        <v>53</v>
      </c>
      <c r="L222" s="14"/>
      <c r="M222" s="15"/>
      <c r="N222" s="16"/>
      <c r="O222" s="15"/>
      <c r="P222" s="16"/>
      <c r="Q222" s="15"/>
      <c r="R222" s="14"/>
    </row>
    <row r="223" customFormat="false" ht="15" hidden="false" customHeight="false" outlineLevel="0" collapsed="false">
      <c r="A223" s="9" t="s">
        <v>542</v>
      </c>
      <c r="B223" s="9" t="n">
        <v>1071</v>
      </c>
      <c r="C223" s="10" t="s">
        <v>628</v>
      </c>
      <c r="D223" s="10" t="s">
        <v>629</v>
      </c>
      <c r="E223" s="9" t="s">
        <v>59</v>
      </c>
      <c r="F223" s="9" t="s">
        <v>63</v>
      </c>
      <c r="G223" s="11" t="n">
        <v>45611</v>
      </c>
      <c r="H223" s="11"/>
      <c r="I223" s="12" t="str">
        <f aca="true">IF(H223="","",H223-TODAY())</f>
        <v/>
      </c>
      <c r="J223" s="10"/>
      <c r="K223" s="13" t="s">
        <v>53</v>
      </c>
      <c r="L223" s="14"/>
      <c r="M223" s="15"/>
      <c r="N223" s="16"/>
      <c r="O223" s="15"/>
      <c r="P223" s="16"/>
      <c r="Q223" s="15"/>
      <c r="R223" s="14"/>
    </row>
    <row r="224" customFormat="false" ht="23.85" hidden="false" customHeight="false" outlineLevel="0" collapsed="false">
      <c r="A224" s="9" t="s">
        <v>542</v>
      </c>
      <c r="B224" s="9" t="n">
        <v>496</v>
      </c>
      <c r="C224" s="10" t="s">
        <v>630</v>
      </c>
      <c r="D224" s="10" t="s">
        <v>631</v>
      </c>
      <c r="E224" s="9" t="s">
        <v>59</v>
      </c>
      <c r="F224" s="9" t="s">
        <v>98</v>
      </c>
      <c r="G224" s="11" t="n">
        <v>45676</v>
      </c>
      <c r="H224" s="11"/>
      <c r="I224" s="12" t="str">
        <f aca="true">IF(H224="","",H224-TODAY())</f>
        <v/>
      </c>
      <c r="J224" s="10" t="s">
        <v>632</v>
      </c>
      <c r="K224" s="13" t="s">
        <v>53</v>
      </c>
      <c r="L224" s="14"/>
      <c r="M224" s="15"/>
      <c r="N224" s="16"/>
      <c r="O224" s="15"/>
      <c r="P224" s="16"/>
      <c r="Q224" s="15"/>
      <c r="R224" s="14"/>
    </row>
    <row r="225" customFormat="false" ht="35.05" hidden="false" customHeight="false" outlineLevel="0" collapsed="false">
      <c r="A225" s="9" t="s">
        <v>542</v>
      </c>
      <c r="B225" s="9" t="n">
        <v>462</v>
      </c>
      <c r="C225" s="10" t="s">
        <v>633</v>
      </c>
      <c r="D225" s="10" t="s">
        <v>634</v>
      </c>
      <c r="E225" s="9" t="s">
        <v>59</v>
      </c>
      <c r="F225" s="9" t="s">
        <v>98</v>
      </c>
      <c r="G225" s="11" t="n">
        <v>45657</v>
      </c>
      <c r="H225" s="11"/>
      <c r="I225" s="12" t="str">
        <f aca="true">IF(H225="","",H225-TODAY())</f>
        <v/>
      </c>
      <c r="J225" s="10" t="s">
        <v>635</v>
      </c>
      <c r="K225" s="13" t="s">
        <v>53</v>
      </c>
      <c r="L225" s="14"/>
      <c r="M225" s="15"/>
      <c r="N225" s="16"/>
      <c r="O225" s="15"/>
      <c r="P225" s="16"/>
      <c r="Q225" s="15"/>
      <c r="R225" s="14"/>
    </row>
    <row r="226" customFormat="false" ht="23.85" hidden="false" customHeight="false" outlineLevel="0" collapsed="false">
      <c r="A226" s="9" t="s">
        <v>542</v>
      </c>
      <c r="B226" s="9" t="n">
        <v>623</v>
      </c>
      <c r="C226" s="10" t="s">
        <v>636</v>
      </c>
      <c r="D226" s="10" t="s">
        <v>637</v>
      </c>
      <c r="E226" s="9" t="s">
        <v>50</v>
      </c>
      <c r="F226" s="9" t="s">
        <v>51</v>
      </c>
      <c r="G226" s="11" t="n">
        <v>45597</v>
      </c>
      <c r="H226" s="11"/>
      <c r="I226" s="12" t="str">
        <f aca="true">IF(H226="","",H226-TODAY())</f>
        <v/>
      </c>
      <c r="J226" s="10" t="s">
        <v>638</v>
      </c>
      <c r="K226" s="13" t="s">
        <v>53</v>
      </c>
      <c r="L226" s="14"/>
      <c r="M226" s="15"/>
      <c r="N226" s="16"/>
      <c r="O226" s="15"/>
      <c r="P226" s="16"/>
      <c r="Q226" s="15"/>
      <c r="R226" s="14"/>
    </row>
    <row r="227" customFormat="false" ht="15" hidden="false" customHeight="false" outlineLevel="0" collapsed="false">
      <c r="A227" s="9" t="s">
        <v>542</v>
      </c>
      <c r="B227" s="9" t="n">
        <v>399</v>
      </c>
      <c r="C227" s="10" t="s">
        <v>639</v>
      </c>
      <c r="D227" s="10" t="s">
        <v>640</v>
      </c>
      <c r="E227" s="9" t="s">
        <v>50</v>
      </c>
      <c r="F227" s="9" t="s">
        <v>365</v>
      </c>
      <c r="G227" s="11"/>
      <c r="H227" s="11"/>
      <c r="I227" s="12" t="str">
        <f aca="true">IF(H227="","",H227-TODAY())</f>
        <v/>
      </c>
      <c r="J227" s="10"/>
      <c r="K227" s="13" t="s">
        <v>53</v>
      </c>
      <c r="L227" s="14"/>
      <c r="M227" s="15"/>
      <c r="N227" s="16"/>
      <c r="O227" s="15"/>
      <c r="P227" s="16"/>
      <c r="Q227" s="15"/>
      <c r="R227" s="14"/>
    </row>
    <row r="228" customFormat="false" ht="23.85" hidden="false" customHeight="false" outlineLevel="0" collapsed="false">
      <c r="A228" s="9" t="s">
        <v>542</v>
      </c>
      <c r="B228" s="9" t="n">
        <v>965</v>
      </c>
      <c r="C228" s="10" t="s">
        <v>641</v>
      </c>
      <c r="D228" s="10" t="s">
        <v>315</v>
      </c>
      <c r="E228" s="9" t="s">
        <v>59</v>
      </c>
      <c r="F228" s="9" t="s">
        <v>51</v>
      </c>
      <c r="G228" s="11"/>
      <c r="H228" s="11"/>
      <c r="I228" s="12" t="str">
        <f aca="true">IF(H228="","",H228-TODAY())</f>
        <v/>
      </c>
      <c r="J228" s="10" t="s">
        <v>642</v>
      </c>
      <c r="K228" s="13" t="s">
        <v>53</v>
      </c>
      <c r="L228" s="14"/>
      <c r="M228" s="15"/>
      <c r="N228" s="16"/>
      <c r="O228" s="15"/>
      <c r="P228" s="16"/>
      <c r="Q228" s="15"/>
      <c r="R228" s="14"/>
    </row>
    <row r="229" customFormat="false" ht="23.85" hidden="false" customHeight="false" outlineLevel="0" collapsed="false">
      <c r="A229" s="9" t="s">
        <v>542</v>
      </c>
      <c r="B229" s="9" t="n">
        <v>306</v>
      </c>
      <c r="C229" s="10" t="s">
        <v>643</v>
      </c>
      <c r="D229" s="10" t="s">
        <v>644</v>
      </c>
      <c r="E229" s="9" t="s">
        <v>59</v>
      </c>
      <c r="F229" s="9" t="s">
        <v>63</v>
      </c>
      <c r="G229" s="11" t="n">
        <v>45724</v>
      </c>
      <c r="H229" s="11"/>
      <c r="I229" s="12" t="str">
        <f aca="true">IF(H229="","",H229-TODAY())</f>
        <v/>
      </c>
      <c r="J229" s="10" t="s">
        <v>645</v>
      </c>
      <c r="K229" s="13" t="s">
        <v>53</v>
      </c>
      <c r="L229" s="14"/>
      <c r="M229" s="15"/>
      <c r="N229" s="16"/>
      <c r="O229" s="15"/>
      <c r="P229" s="16"/>
      <c r="Q229" s="15"/>
      <c r="R229" s="14"/>
    </row>
    <row r="230" customFormat="false" ht="23.85" hidden="false" customHeight="false" outlineLevel="0" collapsed="false">
      <c r="A230" s="9" t="s">
        <v>542</v>
      </c>
      <c r="B230" s="9" t="n">
        <v>145</v>
      </c>
      <c r="C230" s="10" t="s">
        <v>646</v>
      </c>
      <c r="D230" s="10" t="s">
        <v>647</v>
      </c>
      <c r="E230" s="9" t="s">
        <v>59</v>
      </c>
      <c r="F230" s="9" t="s">
        <v>63</v>
      </c>
      <c r="G230" s="11" t="n">
        <v>45702</v>
      </c>
      <c r="H230" s="11"/>
      <c r="I230" s="12" t="str">
        <f aca="true">IF(H230="","",H230-TODAY())</f>
        <v/>
      </c>
      <c r="J230" s="10" t="s">
        <v>444</v>
      </c>
      <c r="K230" s="13" t="s">
        <v>53</v>
      </c>
      <c r="L230" s="14"/>
      <c r="M230" s="15"/>
      <c r="N230" s="16"/>
      <c r="O230" s="15"/>
      <c r="P230" s="16"/>
      <c r="Q230" s="15"/>
      <c r="R230" s="14"/>
    </row>
    <row r="231" customFormat="false" ht="15" hidden="false" customHeight="false" outlineLevel="0" collapsed="false">
      <c r="A231" s="9" t="s">
        <v>542</v>
      </c>
      <c r="B231" s="9" t="n">
        <v>834</v>
      </c>
      <c r="C231" s="10" t="s">
        <v>648</v>
      </c>
      <c r="D231" s="10" t="s">
        <v>649</v>
      </c>
      <c r="E231" s="9" t="s">
        <v>50</v>
      </c>
      <c r="F231" s="9" t="s">
        <v>51</v>
      </c>
      <c r="G231" s="11" t="n">
        <v>45580</v>
      </c>
      <c r="H231" s="11"/>
      <c r="I231" s="12" t="str">
        <f aca="true">IF(H231="","",H231-TODAY())</f>
        <v/>
      </c>
      <c r="J231" s="10"/>
      <c r="K231" s="13" t="s">
        <v>53</v>
      </c>
      <c r="L231" s="14"/>
      <c r="M231" s="15"/>
      <c r="N231" s="16"/>
      <c r="O231" s="15"/>
      <c r="P231" s="16"/>
      <c r="Q231" s="15"/>
      <c r="R231" s="14"/>
    </row>
    <row r="232" customFormat="false" ht="23.85" hidden="false" customHeight="false" outlineLevel="0" collapsed="false">
      <c r="A232" s="9" t="s">
        <v>542</v>
      </c>
      <c r="B232" s="9" t="n">
        <v>635</v>
      </c>
      <c r="C232" s="10" t="s">
        <v>650</v>
      </c>
      <c r="D232" s="10" t="s">
        <v>651</v>
      </c>
      <c r="E232" s="9" t="s">
        <v>59</v>
      </c>
      <c r="F232" s="9" t="s">
        <v>63</v>
      </c>
      <c r="G232" s="11" t="n">
        <v>45672</v>
      </c>
      <c r="H232" s="11"/>
      <c r="I232" s="12" t="str">
        <f aca="true">IF(H232="","",H232-TODAY())</f>
        <v/>
      </c>
      <c r="J232" s="10" t="s">
        <v>652</v>
      </c>
      <c r="K232" s="13" t="s">
        <v>53</v>
      </c>
      <c r="L232" s="14"/>
      <c r="M232" s="15"/>
      <c r="N232" s="16"/>
      <c r="O232" s="15"/>
      <c r="P232" s="16"/>
      <c r="Q232" s="15"/>
      <c r="R232" s="14"/>
    </row>
    <row r="233" customFormat="false" ht="35.05" hidden="false" customHeight="false" outlineLevel="0" collapsed="false">
      <c r="A233" s="9" t="s">
        <v>542</v>
      </c>
      <c r="B233" s="9" t="n">
        <v>868</v>
      </c>
      <c r="C233" s="10" t="s">
        <v>653</v>
      </c>
      <c r="D233" s="10" t="s">
        <v>654</v>
      </c>
      <c r="E233" s="9" t="s">
        <v>50</v>
      </c>
      <c r="F233" s="9" t="s">
        <v>63</v>
      </c>
      <c r="G233" s="11"/>
      <c r="H233" s="11"/>
      <c r="I233" s="12" t="str">
        <f aca="true">IF(H233="","",H233-TODAY())</f>
        <v/>
      </c>
      <c r="J233" s="10" t="s">
        <v>655</v>
      </c>
      <c r="K233" s="13" t="s">
        <v>53</v>
      </c>
      <c r="L233" s="14"/>
      <c r="M233" s="15"/>
      <c r="N233" s="16"/>
      <c r="O233" s="15"/>
      <c r="P233" s="16"/>
      <c r="Q233" s="15"/>
      <c r="R233" s="14"/>
    </row>
    <row r="234" customFormat="false" ht="15" hidden="false" customHeight="false" outlineLevel="0" collapsed="false">
      <c r="A234" s="9" t="s">
        <v>542</v>
      </c>
      <c r="B234" s="9" t="n">
        <v>771</v>
      </c>
      <c r="C234" s="10" t="s">
        <v>656</v>
      </c>
      <c r="D234" s="10" t="s">
        <v>186</v>
      </c>
      <c r="E234" s="9" t="s">
        <v>59</v>
      </c>
      <c r="F234" s="9" t="s">
        <v>63</v>
      </c>
      <c r="G234" s="11" t="n">
        <v>45702</v>
      </c>
      <c r="H234" s="11"/>
      <c r="I234" s="12" t="str">
        <f aca="true">IF(H234="","",H234-TODAY())</f>
        <v/>
      </c>
      <c r="J234" s="10" t="s">
        <v>368</v>
      </c>
      <c r="K234" s="13" t="s">
        <v>53</v>
      </c>
      <c r="L234" s="14"/>
      <c r="M234" s="15"/>
      <c r="N234" s="16"/>
      <c r="O234" s="15"/>
      <c r="P234" s="16"/>
      <c r="Q234" s="15"/>
      <c r="R234" s="14"/>
    </row>
    <row r="235" customFormat="false" ht="57.45" hidden="false" customHeight="false" outlineLevel="0" collapsed="false">
      <c r="A235" s="9" t="s">
        <v>542</v>
      </c>
      <c r="B235" s="9" t="n">
        <v>511</v>
      </c>
      <c r="C235" s="10" t="s">
        <v>657</v>
      </c>
      <c r="D235" s="10" t="s">
        <v>658</v>
      </c>
      <c r="E235" s="9" t="s">
        <v>59</v>
      </c>
      <c r="F235" s="9" t="s">
        <v>51</v>
      </c>
      <c r="G235" s="11"/>
      <c r="H235" s="11"/>
      <c r="I235" s="12" t="str">
        <f aca="true">IF(H235="","",H235-TODAY())</f>
        <v/>
      </c>
      <c r="J235" s="10" t="s">
        <v>659</v>
      </c>
      <c r="K235" s="13" t="s">
        <v>53</v>
      </c>
      <c r="L235" s="14"/>
      <c r="M235" s="15"/>
      <c r="N235" s="16"/>
      <c r="O235" s="15"/>
      <c r="P235" s="16"/>
      <c r="Q235" s="15"/>
      <c r="R235" s="14"/>
    </row>
    <row r="236" customFormat="false" ht="23.85" hidden="false" customHeight="false" outlineLevel="0" collapsed="false">
      <c r="A236" s="9" t="s">
        <v>542</v>
      </c>
      <c r="B236" s="9" t="n">
        <v>561</v>
      </c>
      <c r="C236" s="10" t="s">
        <v>660</v>
      </c>
      <c r="D236" s="10" t="s">
        <v>661</v>
      </c>
      <c r="E236" s="9" t="s">
        <v>59</v>
      </c>
      <c r="F236" s="9" t="s">
        <v>63</v>
      </c>
      <c r="G236" s="11" t="n">
        <v>45731</v>
      </c>
      <c r="H236" s="11"/>
      <c r="I236" s="12" t="str">
        <f aca="true">IF(H236="","",H236-TODAY())</f>
        <v/>
      </c>
      <c r="J236" s="10" t="s">
        <v>662</v>
      </c>
      <c r="K236" s="13" t="s">
        <v>53</v>
      </c>
      <c r="L236" s="14"/>
      <c r="M236" s="15"/>
      <c r="N236" s="16"/>
      <c r="O236" s="15"/>
      <c r="P236" s="16"/>
      <c r="Q236" s="15"/>
      <c r="R236" s="14"/>
    </row>
    <row r="237" customFormat="false" ht="15" hidden="false" customHeight="false" outlineLevel="0" collapsed="false">
      <c r="A237" s="9" t="s">
        <v>542</v>
      </c>
      <c r="B237" s="9" t="n">
        <v>219</v>
      </c>
      <c r="C237" s="10" t="s">
        <v>663</v>
      </c>
      <c r="D237" s="10" t="s">
        <v>664</v>
      </c>
      <c r="E237" s="9" t="s">
        <v>50</v>
      </c>
      <c r="F237" s="9" t="s">
        <v>63</v>
      </c>
      <c r="G237" s="11" t="n">
        <v>45600</v>
      </c>
      <c r="H237" s="11"/>
      <c r="I237" s="12" t="str">
        <f aca="true">IF(H237="","",H237-TODAY())</f>
        <v/>
      </c>
      <c r="J237" s="10" t="s">
        <v>665</v>
      </c>
      <c r="K237" s="13" t="s">
        <v>53</v>
      </c>
      <c r="L237" s="14"/>
      <c r="M237" s="15"/>
      <c r="N237" s="16"/>
      <c r="O237" s="15"/>
      <c r="P237" s="16"/>
      <c r="Q237" s="15"/>
      <c r="R237" s="14"/>
    </row>
    <row r="238" customFormat="false" ht="23.85" hidden="false" customHeight="false" outlineLevel="0" collapsed="false">
      <c r="A238" s="9" t="s">
        <v>542</v>
      </c>
      <c r="B238" s="9" t="n">
        <v>484</v>
      </c>
      <c r="C238" s="10" t="s">
        <v>666</v>
      </c>
      <c r="D238" s="10" t="s">
        <v>667</v>
      </c>
      <c r="E238" s="9" t="s">
        <v>59</v>
      </c>
      <c r="F238" s="9" t="s">
        <v>63</v>
      </c>
      <c r="G238" s="11" t="n">
        <v>45693</v>
      </c>
      <c r="H238" s="11"/>
      <c r="I238" s="12" t="str">
        <f aca="true">IF(H238="","",H238-TODAY())</f>
        <v/>
      </c>
      <c r="J238" s="10" t="s">
        <v>668</v>
      </c>
      <c r="K238" s="13" t="s">
        <v>53</v>
      </c>
      <c r="L238" s="14"/>
      <c r="M238" s="15"/>
      <c r="N238" s="16"/>
      <c r="O238" s="15"/>
      <c r="P238" s="16"/>
      <c r="Q238" s="15"/>
      <c r="R238" s="14"/>
    </row>
    <row r="239" customFormat="false" ht="23.85" hidden="false" customHeight="false" outlineLevel="0" collapsed="false">
      <c r="A239" s="9" t="s">
        <v>542</v>
      </c>
      <c r="B239" s="9" t="n">
        <v>177</v>
      </c>
      <c r="C239" s="10" t="s">
        <v>669</v>
      </c>
      <c r="D239" s="10" t="s">
        <v>670</v>
      </c>
      <c r="E239" s="9" t="s">
        <v>59</v>
      </c>
      <c r="F239" s="9" t="s">
        <v>63</v>
      </c>
      <c r="G239" s="11" t="n">
        <v>45631</v>
      </c>
      <c r="H239" s="11"/>
      <c r="I239" s="12" t="str">
        <f aca="true">IF(H239="","",H239-TODAY())</f>
        <v/>
      </c>
      <c r="J239" s="10" t="s">
        <v>671</v>
      </c>
      <c r="K239" s="13" t="s">
        <v>53</v>
      </c>
      <c r="L239" s="14"/>
      <c r="M239" s="15"/>
      <c r="N239" s="16"/>
      <c r="O239" s="15"/>
      <c r="P239" s="16"/>
      <c r="Q239" s="15"/>
      <c r="R239" s="14"/>
    </row>
    <row r="240" customFormat="false" ht="35.05" hidden="false" customHeight="false" outlineLevel="0" collapsed="false">
      <c r="A240" s="9" t="s">
        <v>542</v>
      </c>
      <c r="B240" s="9" t="n">
        <v>727</v>
      </c>
      <c r="C240" s="10" t="s">
        <v>672</v>
      </c>
      <c r="D240" s="10" t="s">
        <v>673</v>
      </c>
      <c r="E240" s="9" t="s">
        <v>50</v>
      </c>
      <c r="F240" s="9" t="s">
        <v>51</v>
      </c>
      <c r="G240" s="11" t="n">
        <v>45667</v>
      </c>
      <c r="H240" s="11"/>
      <c r="I240" s="12" t="str">
        <f aca="true">IF(H240="","",H240-TODAY())</f>
        <v/>
      </c>
      <c r="J240" s="10" t="s">
        <v>674</v>
      </c>
      <c r="K240" s="13" t="s">
        <v>53</v>
      </c>
      <c r="L240" s="14"/>
      <c r="M240" s="15"/>
      <c r="N240" s="16"/>
      <c r="O240" s="15"/>
      <c r="P240" s="16"/>
      <c r="Q240" s="15"/>
      <c r="R240" s="14"/>
    </row>
    <row r="241" customFormat="false" ht="23.85" hidden="false" customHeight="false" outlineLevel="0" collapsed="false">
      <c r="A241" s="9" t="s">
        <v>542</v>
      </c>
      <c r="B241" s="9" t="n">
        <v>652</v>
      </c>
      <c r="C241" s="10" t="s">
        <v>675</v>
      </c>
      <c r="D241" s="10" t="s">
        <v>676</v>
      </c>
      <c r="E241" s="9" t="s">
        <v>59</v>
      </c>
      <c r="F241" s="9" t="s">
        <v>51</v>
      </c>
      <c r="G241" s="11" t="n">
        <v>45631</v>
      </c>
      <c r="H241" s="11"/>
      <c r="I241" s="12" t="str">
        <f aca="true">IF(H241="","",H241-TODAY())</f>
        <v/>
      </c>
      <c r="J241" s="10" t="s">
        <v>677</v>
      </c>
      <c r="K241" s="13" t="s">
        <v>53</v>
      </c>
      <c r="L241" s="14"/>
      <c r="M241" s="15"/>
      <c r="N241" s="16"/>
      <c r="O241" s="15"/>
      <c r="P241" s="16"/>
      <c r="Q241" s="15"/>
      <c r="R241" s="14"/>
    </row>
    <row r="242" customFormat="false" ht="35.05" hidden="false" customHeight="false" outlineLevel="0" collapsed="false">
      <c r="A242" s="9" t="s">
        <v>542</v>
      </c>
      <c r="B242" s="9" t="n">
        <v>303</v>
      </c>
      <c r="C242" s="10" t="s">
        <v>678</v>
      </c>
      <c r="D242" s="10" t="s">
        <v>679</v>
      </c>
      <c r="E242" s="9" t="s">
        <v>59</v>
      </c>
      <c r="F242" s="9" t="s">
        <v>63</v>
      </c>
      <c r="G242" s="11" t="n">
        <v>45672</v>
      </c>
      <c r="H242" s="11"/>
      <c r="I242" s="12" t="str">
        <f aca="true">IF(H242="","",H242-TODAY())</f>
        <v/>
      </c>
      <c r="J242" s="10" t="s">
        <v>680</v>
      </c>
      <c r="K242" s="13" t="s">
        <v>53</v>
      </c>
      <c r="L242" s="14"/>
      <c r="M242" s="15"/>
      <c r="N242" s="16"/>
      <c r="O242" s="15"/>
      <c r="P242" s="16"/>
      <c r="Q242" s="15"/>
      <c r="R242" s="14"/>
    </row>
    <row r="243" customFormat="false" ht="35.05" hidden="false" customHeight="false" outlineLevel="0" collapsed="false">
      <c r="A243" s="9" t="s">
        <v>542</v>
      </c>
      <c r="B243" s="9" t="n">
        <v>1068</v>
      </c>
      <c r="C243" s="10" t="s">
        <v>681</v>
      </c>
      <c r="D243" s="10" t="s">
        <v>682</v>
      </c>
      <c r="E243" s="9" t="s">
        <v>59</v>
      </c>
      <c r="F243" s="9" t="s">
        <v>683</v>
      </c>
      <c r="G243" s="11" t="n">
        <v>45667</v>
      </c>
      <c r="H243" s="11"/>
      <c r="I243" s="12" t="str">
        <f aca="true">IF(H243="","",H243-TODAY())</f>
        <v/>
      </c>
      <c r="J243" s="10" t="s">
        <v>684</v>
      </c>
      <c r="K243" s="13" t="s">
        <v>53</v>
      </c>
      <c r="L243" s="14"/>
      <c r="M243" s="15"/>
      <c r="N243" s="16"/>
      <c r="O243" s="15"/>
      <c r="P243" s="16"/>
      <c r="Q243" s="15"/>
      <c r="R243" s="14"/>
    </row>
    <row r="244" customFormat="false" ht="23.85" hidden="false" customHeight="false" outlineLevel="0" collapsed="false">
      <c r="A244" s="9" t="s">
        <v>542</v>
      </c>
      <c r="B244" s="9" t="n">
        <v>77</v>
      </c>
      <c r="C244" s="10" t="s">
        <v>685</v>
      </c>
      <c r="D244" s="10" t="s">
        <v>686</v>
      </c>
      <c r="E244" s="9" t="s">
        <v>50</v>
      </c>
      <c r="F244" s="9" t="s">
        <v>51</v>
      </c>
      <c r="G244" s="11"/>
      <c r="H244" s="11"/>
      <c r="I244" s="12" t="str">
        <f aca="true">IF(H244="","",H244-TODAY())</f>
        <v/>
      </c>
      <c r="J244" s="10" t="s">
        <v>687</v>
      </c>
      <c r="K244" s="13" t="s">
        <v>53</v>
      </c>
      <c r="L244" s="14"/>
      <c r="M244" s="15"/>
      <c r="N244" s="16"/>
      <c r="O244" s="15"/>
      <c r="P244" s="16"/>
      <c r="Q244" s="15"/>
      <c r="R244" s="14"/>
    </row>
    <row r="245" customFormat="false" ht="23.85" hidden="false" customHeight="false" outlineLevel="0" collapsed="false">
      <c r="A245" s="9" t="s">
        <v>542</v>
      </c>
      <c r="B245" s="9" t="n">
        <v>578</v>
      </c>
      <c r="C245" s="10" t="s">
        <v>688</v>
      </c>
      <c r="D245" s="10" t="s">
        <v>689</v>
      </c>
      <c r="E245" s="9" t="s">
        <v>50</v>
      </c>
      <c r="F245" s="9" t="s">
        <v>51</v>
      </c>
      <c r="G245" s="11"/>
      <c r="H245" s="11"/>
      <c r="I245" s="12" t="str">
        <f aca="true">IF(H245="","",H245-TODAY())</f>
        <v/>
      </c>
      <c r="J245" s="10" t="s">
        <v>690</v>
      </c>
      <c r="K245" s="13" t="s">
        <v>53</v>
      </c>
      <c r="L245" s="14"/>
      <c r="M245" s="15"/>
      <c r="N245" s="16"/>
      <c r="O245" s="15"/>
      <c r="P245" s="16"/>
      <c r="Q245" s="15"/>
      <c r="R245" s="14"/>
    </row>
    <row r="246" customFormat="false" ht="23.85" hidden="false" customHeight="false" outlineLevel="0" collapsed="false">
      <c r="A246" s="9" t="s">
        <v>542</v>
      </c>
      <c r="B246" s="9" t="n">
        <v>557</v>
      </c>
      <c r="C246" s="10" t="s">
        <v>691</v>
      </c>
      <c r="D246" s="10" t="s">
        <v>409</v>
      </c>
      <c r="E246" s="9" t="s">
        <v>59</v>
      </c>
      <c r="F246" s="9" t="s">
        <v>63</v>
      </c>
      <c r="G246" s="11" t="n">
        <v>45644</v>
      </c>
      <c r="H246" s="11"/>
      <c r="I246" s="12" t="str">
        <f aca="true">IF(H246="","",H246-TODAY())</f>
        <v/>
      </c>
      <c r="J246" s="10" t="s">
        <v>692</v>
      </c>
      <c r="K246" s="13" t="s">
        <v>53</v>
      </c>
      <c r="L246" s="14"/>
      <c r="M246" s="15"/>
      <c r="N246" s="16"/>
      <c r="O246" s="15"/>
      <c r="P246" s="16"/>
      <c r="Q246" s="15"/>
      <c r="R246" s="14"/>
    </row>
    <row r="247" customFormat="false" ht="15" hidden="false" customHeight="false" outlineLevel="0" collapsed="false">
      <c r="A247" s="9" t="s">
        <v>542</v>
      </c>
      <c r="B247" s="9" t="n">
        <v>768</v>
      </c>
      <c r="C247" s="10" t="s">
        <v>693</v>
      </c>
      <c r="D247" s="10" t="s">
        <v>186</v>
      </c>
      <c r="E247" s="9" t="s">
        <v>59</v>
      </c>
      <c r="F247" s="9" t="s">
        <v>63</v>
      </c>
      <c r="G247" s="11" t="n">
        <v>45702</v>
      </c>
      <c r="H247" s="11"/>
      <c r="I247" s="12" t="str">
        <f aca="true">IF(H247="","",H247-TODAY())</f>
        <v/>
      </c>
      <c r="J247" s="10" t="s">
        <v>202</v>
      </c>
      <c r="K247" s="13" t="s">
        <v>53</v>
      </c>
      <c r="L247" s="14"/>
      <c r="M247" s="15"/>
      <c r="N247" s="16"/>
      <c r="O247" s="15"/>
      <c r="P247" s="16"/>
      <c r="Q247" s="15"/>
      <c r="R247" s="14"/>
    </row>
    <row r="248" customFormat="false" ht="57.45" hidden="false" customHeight="false" outlineLevel="0" collapsed="false">
      <c r="A248" s="9" t="s">
        <v>542</v>
      </c>
      <c r="B248" s="9" t="n">
        <v>264</v>
      </c>
      <c r="C248" s="10" t="s">
        <v>694</v>
      </c>
      <c r="D248" s="10" t="s">
        <v>695</v>
      </c>
      <c r="E248" s="9" t="s">
        <v>50</v>
      </c>
      <c r="F248" s="9" t="s">
        <v>63</v>
      </c>
      <c r="G248" s="11"/>
      <c r="H248" s="11"/>
      <c r="I248" s="12" t="str">
        <f aca="true">IF(H248="","",H248-TODAY())</f>
        <v/>
      </c>
      <c r="J248" s="10" t="s">
        <v>696</v>
      </c>
      <c r="K248" s="13" t="s">
        <v>53</v>
      </c>
      <c r="L248" s="14"/>
      <c r="M248" s="15"/>
      <c r="N248" s="16"/>
      <c r="O248" s="15"/>
      <c r="P248" s="16"/>
      <c r="Q248" s="15"/>
      <c r="R248" s="14"/>
    </row>
    <row r="249" customFormat="false" ht="35.05" hidden="false" customHeight="false" outlineLevel="0" collapsed="false">
      <c r="A249" s="9" t="s">
        <v>542</v>
      </c>
      <c r="B249" s="9" t="n">
        <v>819</v>
      </c>
      <c r="C249" s="10" t="s">
        <v>697</v>
      </c>
      <c r="D249" s="10" t="s">
        <v>698</v>
      </c>
      <c r="E249" s="9" t="s">
        <v>59</v>
      </c>
      <c r="F249" s="9" t="s">
        <v>63</v>
      </c>
      <c r="G249" s="11"/>
      <c r="H249" s="11"/>
      <c r="I249" s="12" t="str">
        <f aca="true">IF(H249="","",H249-TODAY())</f>
        <v/>
      </c>
      <c r="J249" s="10" t="s">
        <v>699</v>
      </c>
      <c r="K249" s="13" t="s">
        <v>53</v>
      </c>
      <c r="L249" s="14"/>
      <c r="M249" s="15"/>
      <c r="N249" s="16"/>
      <c r="O249" s="15"/>
      <c r="P249" s="16"/>
      <c r="Q249" s="15"/>
      <c r="R249" s="14"/>
    </row>
    <row r="250" customFormat="false" ht="57.45" hidden="false" customHeight="false" outlineLevel="0" collapsed="false">
      <c r="A250" s="9" t="s">
        <v>542</v>
      </c>
      <c r="B250" s="9" t="n">
        <v>658</v>
      </c>
      <c r="C250" s="10" t="s">
        <v>700</v>
      </c>
      <c r="D250" s="10" t="s">
        <v>701</v>
      </c>
      <c r="E250" s="9" t="s">
        <v>59</v>
      </c>
      <c r="F250" s="9" t="s">
        <v>63</v>
      </c>
      <c r="G250" s="11" t="n">
        <v>45671</v>
      </c>
      <c r="H250" s="11"/>
      <c r="I250" s="12" t="str">
        <f aca="true">IF(H250="","",H250-TODAY())</f>
        <v/>
      </c>
      <c r="J250" s="10" t="s">
        <v>702</v>
      </c>
      <c r="K250" s="13" t="s">
        <v>53</v>
      </c>
      <c r="L250" s="14"/>
      <c r="M250" s="15"/>
      <c r="N250" s="16"/>
      <c r="O250" s="15"/>
      <c r="P250" s="16"/>
      <c r="Q250" s="15"/>
      <c r="R250" s="14"/>
    </row>
    <row r="251" customFormat="false" ht="23.85" hidden="false" customHeight="false" outlineLevel="0" collapsed="false">
      <c r="A251" s="9" t="s">
        <v>542</v>
      </c>
      <c r="B251" s="9" t="n">
        <v>887</v>
      </c>
      <c r="C251" s="10" t="s">
        <v>703</v>
      </c>
      <c r="D251" s="10" t="s">
        <v>704</v>
      </c>
      <c r="E251" s="9" t="s">
        <v>59</v>
      </c>
      <c r="F251" s="9" t="s">
        <v>63</v>
      </c>
      <c r="G251" s="11" t="n">
        <v>45656</v>
      </c>
      <c r="H251" s="11"/>
      <c r="I251" s="12" t="str">
        <f aca="true">IF(H251="","",H251-TODAY())</f>
        <v/>
      </c>
      <c r="J251" s="10" t="s">
        <v>705</v>
      </c>
      <c r="K251" s="13" t="s">
        <v>53</v>
      </c>
      <c r="L251" s="14"/>
      <c r="M251" s="15"/>
      <c r="N251" s="16"/>
      <c r="O251" s="15"/>
      <c r="P251" s="16"/>
      <c r="Q251" s="15"/>
      <c r="R251" s="14"/>
    </row>
    <row r="252" customFormat="false" ht="15" hidden="false" customHeight="false" outlineLevel="0" collapsed="false">
      <c r="A252" s="9" t="s">
        <v>542</v>
      </c>
      <c r="B252" s="9" t="n">
        <v>781</v>
      </c>
      <c r="C252" s="10" t="s">
        <v>706</v>
      </c>
      <c r="D252" s="10" t="s">
        <v>186</v>
      </c>
      <c r="E252" s="9" t="s">
        <v>59</v>
      </c>
      <c r="F252" s="9" t="s">
        <v>63</v>
      </c>
      <c r="G252" s="11" t="n">
        <v>45717</v>
      </c>
      <c r="H252" s="11"/>
      <c r="I252" s="12" t="str">
        <f aca="true">IF(H252="","",H252-TODAY())</f>
        <v/>
      </c>
      <c r="J252" s="10" t="s">
        <v>202</v>
      </c>
      <c r="K252" s="13" t="s">
        <v>53</v>
      </c>
      <c r="L252" s="14"/>
      <c r="M252" s="15"/>
      <c r="N252" s="16"/>
      <c r="O252" s="15"/>
      <c r="P252" s="16"/>
      <c r="Q252" s="15"/>
      <c r="R252" s="14"/>
    </row>
    <row r="253" customFormat="false" ht="23.85" hidden="false" customHeight="false" outlineLevel="0" collapsed="false">
      <c r="A253" s="9" t="s">
        <v>542</v>
      </c>
      <c r="B253" s="9" t="n">
        <v>874</v>
      </c>
      <c r="C253" s="10" t="s">
        <v>707</v>
      </c>
      <c r="D253" s="10" t="s">
        <v>708</v>
      </c>
      <c r="E253" s="9" t="s">
        <v>50</v>
      </c>
      <c r="F253" s="9" t="s">
        <v>63</v>
      </c>
      <c r="G253" s="11" t="n">
        <v>44938</v>
      </c>
      <c r="H253" s="11"/>
      <c r="I253" s="12" t="str">
        <f aca="true">IF(H253="","",H253-TODAY())</f>
        <v/>
      </c>
      <c r="J253" s="10"/>
      <c r="K253" s="13" t="s">
        <v>53</v>
      </c>
      <c r="L253" s="14"/>
      <c r="M253" s="15"/>
      <c r="N253" s="16"/>
      <c r="O253" s="15"/>
      <c r="P253" s="16"/>
      <c r="Q253" s="15"/>
      <c r="R253" s="14"/>
    </row>
    <row r="254" customFormat="false" ht="23.85" hidden="false" customHeight="false" outlineLevel="0" collapsed="false">
      <c r="A254" s="9" t="s">
        <v>709</v>
      </c>
      <c r="B254" s="9" t="n">
        <v>793</v>
      </c>
      <c r="C254" s="10" t="s">
        <v>710</v>
      </c>
      <c r="D254" s="10" t="s">
        <v>326</v>
      </c>
      <c r="E254" s="9" t="s">
        <v>59</v>
      </c>
      <c r="F254" s="9" t="s">
        <v>683</v>
      </c>
      <c r="G254" s="11"/>
      <c r="H254" s="11"/>
      <c r="I254" s="12" t="str">
        <f aca="true">IF(H254="","",H254-TODAY())</f>
        <v/>
      </c>
      <c r="J254" s="10" t="s">
        <v>711</v>
      </c>
      <c r="K254" s="13" t="s">
        <v>53</v>
      </c>
      <c r="L254" s="14"/>
      <c r="M254" s="15"/>
      <c r="N254" s="16"/>
      <c r="O254" s="15"/>
      <c r="P254" s="16"/>
      <c r="Q254" s="15"/>
      <c r="R254" s="14"/>
    </row>
    <row r="255" customFormat="false" ht="15" hidden="false" customHeight="false" outlineLevel="0" collapsed="false">
      <c r="A255" s="9" t="s">
        <v>709</v>
      </c>
      <c r="B255" s="9" t="n">
        <v>429</v>
      </c>
      <c r="C255" s="10" t="s">
        <v>712</v>
      </c>
      <c r="D255" s="10" t="s">
        <v>713</v>
      </c>
      <c r="E255" s="9" t="s">
        <v>50</v>
      </c>
      <c r="F255" s="9" t="s">
        <v>683</v>
      </c>
      <c r="G255" s="11"/>
      <c r="H255" s="11"/>
      <c r="I255" s="12" t="str">
        <f aca="true">IF(H255="","",H255-TODAY())</f>
        <v/>
      </c>
      <c r="J255" s="10" t="s">
        <v>714</v>
      </c>
      <c r="K255" s="13" t="s">
        <v>53</v>
      </c>
      <c r="L255" s="14"/>
      <c r="M255" s="15"/>
      <c r="N255" s="16"/>
      <c r="O255" s="15"/>
      <c r="P255" s="16"/>
      <c r="Q255" s="15"/>
      <c r="R255" s="14"/>
    </row>
    <row r="256" customFormat="false" ht="23.85" hidden="false" customHeight="false" outlineLevel="0" collapsed="false">
      <c r="A256" s="9" t="s">
        <v>709</v>
      </c>
      <c r="B256" s="9" t="n">
        <v>387</v>
      </c>
      <c r="C256" s="10" t="s">
        <v>715</v>
      </c>
      <c r="D256" s="10" t="s">
        <v>716</v>
      </c>
      <c r="E256" s="9" t="s">
        <v>59</v>
      </c>
      <c r="F256" s="9" t="s">
        <v>683</v>
      </c>
      <c r="G256" s="11"/>
      <c r="H256" s="11"/>
      <c r="I256" s="12" t="str">
        <f aca="true">IF(H256="","",H256-TODAY())</f>
        <v/>
      </c>
      <c r="J256" s="10" t="s">
        <v>717</v>
      </c>
      <c r="K256" s="13" t="s">
        <v>53</v>
      </c>
      <c r="L256" s="14"/>
      <c r="M256" s="15"/>
      <c r="N256" s="16"/>
      <c r="O256" s="15"/>
      <c r="P256" s="16"/>
      <c r="Q256" s="15"/>
      <c r="R256" s="14"/>
    </row>
    <row r="257" customFormat="false" ht="15" hidden="false" customHeight="false" outlineLevel="0" collapsed="false">
      <c r="A257" s="9" t="s">
        <v>709</v>
      </c>
      <c r="B257" s="9" t="n">
        <v>314</v>
      </c>
      <c r="C257" s="10" t="s">
        <v>718</v>
      </c>
      <c r="D257" s="10" t="s">
        <v>577</v>
      </c>
      <c r="E257" s="9" t="s">
        <v>50</v>
      </c>
      <c r="F257" s="9" t="s">
        <v>683</v>
      </c>
      <c r="G257" s="11"/>
      <c r="H257" s="11"/>
      <c r="I257" s="12" t="str">
        <f aca="true">IF(H257="","",H257-TODAY())</f>
        <v/>
      </c>
      <c r="J257" s="10"/>
      <c r="K257" s="13" t="s">
        <v>53</v>
      </c>
      <c r="L257" s="14"/>
      <c r="M257" s="15"/>
      <c r="N257" s="16"/>
      <c r="O257" s="15"/>
      <c r="P257" s="16"/>
      <c r="Q257" s="15"/>
      <c r="R257" s="14"/>
    </row>
    <row r="258" customFormat="false" ht="23.85" hidden="false" customHeight="false" outlineLevel="0" collapsed="false">
      <c r="A258" s="9" t="s">
        <v>709</v>
      </c>
      <c r="B258" s="9" t="n">
        <v>569</v>
      </c>
      <c r="C258" s="10" t="s">
        <v>719</v>
      </c>
      <c r="D258" s="10" t="s">
        <v>720</v>
      </c>
      <c r="E258" s="9" t="s">
        <v>50</v>
      </c>
      <c r="F258" s="9" t="s">
        <v>683</v>
      </c>
      <c r="G258" s="11"/>
      <c r="H258" s="11"/>
      <c r="I258" s="12" t="str">
        <f aca="true">IF(H258="","",H258-TODAY())</f>
        <v/>
      </c>
      <c r="J258" s="10" t="s">
        <v>721</v>
      </c>
      <c r="K258" s="13" t="s">
        <v>53</v>
      </c>
      <c r="L258" s="14"/>
      <c r="M258" s="15"/>
      <c r="N258" s="16"/>
      <c r="O258" s="15"/>
      <c r="P258" s="16"/>
      <c r="Q258" s="15"/>
      <c r="R258" s="14"/>
    </row>
    <row r="259" customFormat="false" ht="35.05" hidden="false" customHeight="false" outlineLevel="0" collapsed="false">
      <c r="A259" s="9" t="s">
        <v>709</v>
      </c>
      <c r="B259" s="9" t="n">
        <v>275</v>
      </c>
      <c r="C259" s="10" t="s">
        <v>722</v>
      </c>
      <c r="D259" s="10" t="s">
        <v>723</v>
      </c>
      <c r="E259" s="9" t="s">
        <v>50</v>
      </c>
      <c r="F259" s="9" t="s">
        <v>683</v>
      </c>
      <c r="G259" s="11"/>
      <c r="H259" s="11"/>
      <c r="I259" s="12" t="str">
        <f aca="true">IF(H259="","",H259-TODAY())</f>
        <v/>
      </c>
      <c r="J259" s="10" t="s">
        <v>724</v>
      </c>
      <c r="K259" s="13" t="s">
        <v>53</v>
      </c>
      <c r="L259" s="14"/>
      <c r="M259" s="15"/>
      <c r="N259" s="16"/>
      <c r="O259" s="15"/>
      <c r="P259" s="16"/>
      <c r="Q259" s="15"/>
      <c r="R259" s="14"/>
    </row>
    <row r="260" customFormat="false" ht="35.05" hidden="false" customHeight="false" outlineLevel="0" collapsed="false">
      <c r="A260" s="9" t="s">
        <v>709</v>
      </c>
      <c r="B260" s="9" t="n">
        <v>425</v>
      </c>
      <c r="C260" s="10" t="s">
        <v>725</v>
      </c>
      <c r="D260" s="10" t="s">
        <v>726</v>
      </c>
      <c r="E260" s="9" t="s">
        <v>59</v>
      </c>
      <c r="F260" s="9" t="s">
        <v>683</v>
      </c>
      <c r="G260" s="11"/>
      <c r="H260" s="11"/>
      <c r="I260" s="12" t="str">
        <f aca="true">IF(H260="","",H260-TODAY())</f>
        <v/>
      </c>
      <c r="J260" s="10" t="s">
        <v>727</v>
      </c>
      <c r="K260" s="13" t="s">
        <v>53</v>
      </c>
      <c r="L260" s="14"/>
      <c r="M260" s="15"/>
      <c r="N260" s="16"/>
      <c r="O260" s="15"/>
      <c r="P260" s="16"/>
      <c r="Q260" s="15"/>
      <c r="R260" s="14"/>
    </row>
    <row r="261" customFormat="false" ht="23.85" hidden="false" customHeight="false" outlineLevel="0" collapsed="false">
      <c r="A261" s="9" t="s">
        <v>709</v>
      </c>
      <c r="B261" s="9" t="n">
        <v>489</v>
      </c>
      <c r="C261" s="10" t="s">
        <v>728</v>
      </c>
      <c r="D261" s="10" t="s">
        <v>729</v>
      </c>
      <c r="E261" s="9" t="s">
        <v>59</v>
      </c>
      <c r="F261" s="9" t="s">
        <v>683</v>
      </c>
      <c r="G261" s="11"/>
      <c r="H261" s="11"/>
      <c r="I261" s="12" t="str">
        <f aca="true">IF(H261="","",H261-TODAY())</f>
        <v/>
      </c>
      <c r="J261" s="10" t="s">
        <v>730</v>
      </c>
      <c r="K261" s="13" t="s">
        <v>53</v>
      </c>
      <c r="L261" s="14"/>
      <c r="M261" s="15"/>
      <c r="N261" s="16"/>
      <c r="O261" s="15"/>
      <c r="P261" s="16"/>
      <c r="Q261" s="15"/>
      <c r="R261" s="14"/>
    </row>
    <row r="262" customFormat="false" ht="23.85" hidden="false" customHeight="false" outlineLevel="0" collapsed="false">
      <c r="A262" s="9" t="s">
        <v>709</v>
      </c>
      <c r="B262" s="9" t="n">
        <v>10</v>
      </c>
      <c r="C262" s="10" t="s">
        <v>731</v>
      </c>
      <c r="D262" s="10" t="s">
        <v>168</v>
      </c>
      <c r="E262" s="9" t="s">
        <v>59</v>
      </c>
      <c r="F262" s="9" t="s">
        <v>683</v>
      </c>
      <c r="G262" s="11"/>
      <c r="H262" s="11"/>
      <c r="I262" s="12" t="str">
        <f aca="true">IF(H262="","",H262-TODAY())</f>
        <v/>
      </c>
      <c r="J262" s="10" t="s">
        <v>732</v>
      </c>
      <c r="K262" s="13" t="s">
        <v>53</v>
      </c>
      <c r="L262" s="14"/>
      <c r="M262" s="15"/>
      <c r="N262" s="16"/>
      <c r="O262" s="15"/>
      <c r="P262" s="16"/>
      <c r="Q262" s="15"/>
      <c r="R262" s="14"/>
    </row>
    <row r="263" customFormat="false" ht="35.05" hidden="false" customHeight="false" outlineLevel="0" collapsed="false">
      <c r="A263" s="9" t="s">
        <v>709</v>
      </c>
      <c r="B263" s="9" t="n">
        <v>892</v>
      </c>
      <c r="C263" s="10" t="s">
        <v>733</v>
      </c>
      <c r="D263" s="10" t="s">
        <v>177</v>
      </c>
      <c r="E263" s="9" t="s">
        <v>59</v>
      </c>
      <c r="F263" s="9" t="s">
        <v>683</v>
      </c>
      <c r="G263" s="11"/>
      <c r="H263" s="11"/>
      <c r="I263" s="12" t="str">
        <f aca="true">IF(H263="","",H263-TODAY())</f>
        <v/>
      </c>
      <c r="J263" s="10" t="s">
        <v>734</v>
      </c>
      <c r="K263" s="13" t="s">
        <v>53</v>
      </c>
      <c r="L263" s="14"/>
      <c r="M263" s="15"/>
      <c r="N263" s="16"/>
      <c r="O263" s="15"/>
      <c r="P263" s="16"/>
      <c r="Q263" s="15"/>
      <c r="R263" s="14"/>
    </row>
    <row r="264" customFormat="false" ht="23.85" hidden="false" customHeight="false" outlineLevel="0" collapsed="false">
      <c r="A264" s="9" t="s">
        <v>709</v>
      </c>
      <c r="B264" s="9" t="n">
        <v>178</v>
      </c>
      <c r="C264" s="10" t="s">
        <v>735</v>
      </c>
      <c r="D264" s="10" t="s">
        <v>736</v>
      </c>
      <c r="E264" s="9" t="s">
        <v>59</v>
      </c>
      <c r="F264" s="9" t="s">
        <v>683</v>
      </c>
      <c r="G264" s="11"/>
      <c r="H264" s="11"/>
      <c r="I264" s="12" t="str">
        <f aca="true">IF(H264="","",H264-TODAY())</f>
        <v/>
      </c>
      <c r="J264" s="10" t="s">
        <v>737</v>
      </c>
      <c r="K264" s="13" t="s">
        <v>53</v>
      </c>
      <c r="L264" s="14"/>
      <c r="M264" s="15"/>
      <c r="N264" s="16"/>
      <c r="O264" s="15"/>
      <c r="P264" s="16"/>
      <c r="Q264" s="15"/>
      <c r="R264" s="14"/>
    </row>
    <row r="265" customFormat="false" ht="23.85" hidden="false" customHeight="false" outlineLevel="0" collapsed="false">
      <c r="A265" s="9" t="s">
        <v>709</v>
      </c>
      <c r="B265" s="9" t="n">
        <v>1</v>
      </c>
      <c r="C265" s="10" t="s">
        <v>738</v>
      </c>
      <c r="D265" s="10" t="s">
        <v>739</v>
      </c>
      <c r="E265" s="9" t="s">
        <v>59</v>
      </c>
      <c r="F265" s="9" t="s">
        <v>683</v>
      </c>
      <c r="G265" s="11"/>
      <c r="H265" s="11"/>
      <c r="I265" s="12" t="str">
        <f aca="true">IF(H265="","",H265-TODAY())</f>
        <v/>
      </c>
      <c r="J265" s="10" t="s">
        <v>740</v>
      </c>
      <c r="K265" s="13" t="s">
        <v>53</v>
      </c>
      <c r="L265" s="14"/>
      <c r="M265" s="15"/>
      <c r="N265" s="16"/>
      <c r="O265" s="15"/>
      <c r="P265" s="16"/>
      <c r="Q265" s="15"/>
      <c r="R265" s="14"/>
    </row>
    <row r="266" customFormat="false" ht="15" hidden="false" customHeight="false" outlineLevel="0" collapsed="false">
      <c r="A266" s="9" t="s">
        <v>709</v>
      </c>
      <c r="B266" s="9" t="n">
        <v>534</v>
      </c>
      <c r="C266" s="10" t="s">
        <v>741</v>
      </c>
      <c r="D266" s="10" t="s">
        <v>742</v>
      </c>
      <c r="E266" s="9" t="s">
        <v>50</v>
      </c>
      <c r="F266" s="9" t="s">
        <v>683</v>
      </c>
      <c r="G266" s="11"/>
      <c r="H266" s="11"/>
      <c r="I266" s="12" t="str">
        <f aca="true">IF(H266="","",H266-TODAY())</f>
        <v/>
      </c>
      <c r="J266" s="10"/>
      <c r="K266" s="13" t="s">
        <v>53</v>
      </c>
      <c r="L266" s="14"/>
      <c r="M266" s="15"/>
      <c r="N266" s="16"/>
      <c r="O266" s="15"/>
      <c r="P266" s="16"/>
      <c r="Q266" s="15"/>
      <c r="R266" s="14"/>
    </row>
    <row r="267" customFormat="false" ht="23.85" hidden="false" customHeight="false" outlineLevel="0" collapsed="false">
      <c r="A267" s="9" t="s">
        <v>709</v>
      </c>
      <c r="B267" s="9" t="n">
        <v>542</v>
      </c>
      <c r="C267" s="10" t="s">
        <v>743</v>
      </c>
      <c r="D267" s="10" t="s">
        <v>499</v>
      </c>
      <c r="E267" s="9" t="s">
        <v>59</v>
      </c>
      <c r="F267" s="9" t="s">
        <v>683</v>
      </c>
      <c r="G267" s="11"/>
      <c r="H267" s="11"/>
      <c r="I267" s="12" t="str">
        <f aca="true">IF(H267="","",H267-TODAY())</f>
        <v/>
      </c>
      <c r="J267" s="10" t="s">
        <v>444</v>
      </c>
      <c r="K267" s="13" t="s">
        <v>53</v>
      </c>
      <c r="L267" s="14"/>
      <c r="M267" s="15"/>
      <c r="N267" s="16"/>
      <c r="O267" s="15"/>
      <c r="P267" s="16"/>
      <c r="Q267" s="15"/>
      <c r="R267" s="14"/>
    </row>
    <row r="268" customFormat="false" ht="23.85" hidden="false" customHeight="false" outlineLevel="0" collapsed="false">
      <c r="A268" s="9" t="s">
        <v>709</v>
      </c>
      <c r="B268" s="9" t="n">
        <v>196</v>
      </c>
      <c r="C268" s="10" t="s">
        <v>744</v>
      </c>
      <c r="D268" s="10" t="s">
        <v>745</v>
      </c>
      <c r="E268" s="9" t="s">
        <v>50</v>
      </c>
      <c r="F268" s="9" t="s">
        <v>683</v>
      </c>
      <c r="G268" s="11"/>
      <c r="H268" s="11"/>
      <c r="I268" s="12" t="str">
        <f aca="true">IF(H268="","",H268-TODAY())</f>
        <v/>
      </c>
      <c r="J268" s="10" t="s">
        <v>746</v>
      </c>
      <c r="K268" s="13" t="s">
        <v>53</v>
      </c>
      <c r="L268" s="14"/>
      <c r="M268" s="15"/>
      <c r="N268" s="16"/>
      <c r="O268" s="15"/>
      <c r="P268" s="16"/>
      <c r="Q268" s="15"/>
      <c r="R268" s="14"/>
    </row>
    <row r="269" customFormat="false" ht="46.25" hidden="false" customHeight="false" outlineLevel="0" collapsed="false">
      <c r="A269" s="9" t="s">
        <v>709</v>
      </c>
      <c r="B269" s="9" t="n">
        <v>841</v>
      </c>
      <c r="C269" s="10" t="s">
        <v>747</v>
      </c>
      <c r="D269" s="10" t="s">
        <v>748</v>
      </c>
      <c r="E269" s="9" t="s">
        <v>59</v>
      </c>
      <c r="F269" s="9" t="s">
        <v>683</v>
      </c>
      <c r="G269" s="11"/>
      <c r="H269" s="11"/>
      <c r="I269" s="12" t="str">
        <f aca="true">IF(H269="","",H269-TODAY())</f>
        <v/>
      </c>
      <c r="J269" s="10" t="s">
        <v>749</v>
      </c>
      <c r="K269" s="13" t="s">
        <v>53</v>
      </c>
      <c r="L269" s="14"/>
      <c r="M269" s="15"/>
      <c r="N269" s="16"/>
      <c r="O269" s="15"/>
      <c r="P269" s="16"/>
      <c r="Q269" s="15"/>
      <c r="R269" s="14"/>
    </row>
    <row r="270" customFormat="false" ht="23.85" hidden="false" customHeight="false" outlineLevel="0" collapsed="false">
      <c r="A270" s="9" t="s">
        <v>709</v>
      </c>
      <c r="B270" s="9" t="n">
        <v>508</v>
      </c>
      <c r="C270" s="10" t="s">
        <v>750</v>
      </c>
      <c r="D270" s="10" t="s">
        <v>751</v>
      </c>
      <c r="E270" s="9" t="s">
        <v>50</v>
      </c>
      <c r="F270" s="9" t="s">
        <v>683</v>
      </c>
      <c r="G270" s="11"/>
      <c r="H270" s="11"/>
      <c r="I270" s="12" t="str">
        <f aca="true">IF(H270="","",H270-TODAY())</f>
        <v/>
      </c>
      <c r="J270" s="10"/>
      <c r="K270" s="13" t="s">
        <v>53</v>
      </c>
      <c r="L270" s="14"/>
      <c r="M270" s="15"/>
      <c r="N270" s="16"/>
      <c r="O270" s="15"/>
      <c r="P270" s="16"/>
      <c r="Q270" s="15"/>
      <c r="R270" s="14"/>
    </row>
    <row r="271" customFormat="false" ht="23.85" hidden="false" customHeight="false" outlineLevel="0" collapsed="false">
      <c r="A271" s="9" t="s">
        <v>709</v>
      </c>
      <c r="B271" s="9" t="n">
        <v>667</v>
      </c>
      <c r="C271" s="10" t="s">
        <v>752</v>
      </c>
      <c r="D271" s="10" t="s">
        <v>753</v>
      </c>
      <c r="E271" s="9" t="s">
        <v>59</v>
      </c>
      <c r="F271" s="9" t="s">
        <v>683</v>
      </c>
      <c r="G271" s="11"/>
      <c r="H271" s="11"/>
      <c r="I271" s="12" t="str">
        <f aca="true">IF(H271="","",H271-TODAY())</f>
        <v/>
      </c>
      <c r="J271" s="10" t="s">
        <v>754</v>
      </c>
      <c r="K271" s="13" t="s">
        <v>53</v>
      </c>
      <c r="L271" s="14"/>
      <c r="M271" s="15"/>
      <c r="N271" s="16"/>
      <c r="O271" s="15"/>
      <c r="P271" s="16"/>
      <c r="Q271" s="15"/>
      <c r="R271" s="14"/>
    </row>
    <row r="272" customFormat="false" ht="23.85" hidden="false" customHeight="false" outlineLevel="0" collapsed="false">
      <c r="A272" s="9" t="s">
        <v>709</v>
      </c>
      <c r="B272" s="9" t="n">
        <v>11</v>
      </c>
      <c r="C272" s="10" t="s">
        <v>755</v>
      </c>
      <c r="D272" s="10" t="s">
        <v>168</v>
      </c>
      <c r="E272" s="9" t="s">
        <v>59</v>
      </c>
      <c r="F272" s="9" t="s">
        <v>683</v>
      </c>
      <c r="G272" s="11"/>
      <c r="H272" s="11"/>
      <c r="I272" s="12" t="str">
        <f aca="true">IF(H272="","",H272-TODAY())</f>
        <v/>
      </c>
      <c r="J272" s="10" t="s">
        <v>756</v>
      </c>
      <c r="K272" s="13" t="s">
        <v>53</v>
      </c>
      <c r="L272" s="14"/>
      <c r="M272" s="15"/>
      <c r="N272" s="16"/>
      <c r="O272" s="15"/>
      <c r="P272" s="16"/>
      <c r="Q272" s="15"/>
      <c r="R272" s="14"/>
    </row>
    <row r="273" customFormat="false" ht="23.85" hidden="false" customHeight="false" outlineLevel="0" collapsed="false">
      <c r="A273" s="9" t="s">
        <v>709</v>
      </c>
      <c r="B273" s="9" t="n">
        <v>905</v>
      </c>
      <c r="C273" s="10" t="s">
        <v>757</v>
      </c>
      <c r="D273" s="10" t="s">
        <v>758</v>
      </c>
      <c r="E273" s="9" t="s">
        <v>50</v>
      </c>
      <c r="F273" s="9" t="s">
        <v>683</v>
      </c>
      <c r="G273" s="11"/>
      <c r="H273" s="11"/>
      <c r="I273" s="12" t="str">
        <f aca="true">IF(H273="","",H273-TODAY())</f>
        <v/>
      </c>
      <c r="J273" s="10" t="s">
        <v>759</v>
      </c>
      <c r="K273" s="13" t="s">
        <v>53</v>
      </c>
      <c r="L273" s="14"/>
      <c r="M273" s="15"/>
      <c r="N273" s="16"/>
      <c r="O273" s="15"/>
      <c r="P273" s="16"/>
      <c r="Q273" s="15"/>
      <c r="R273" s="14"/>
    </row>
    <row r="274" customFormat="false" ht="23.85" hidden="false" customHeight="false" outlineLevel="0" collapsed="false">
      <c r="A274" s="9" t="s">
        <v>709</v>
      </c>
      <c r="B274" s="9" t="n">
        <v>7</v>
      </c>
      <c r="C274" s="10" t="s">
        <v>760</v>
      </c>
      <c r="D274" s="10" t="s">
        <v>761</v>
      </c>
      <c r="E274" s="9" t="s">
        <v>59</v>
      </c>
      <c r="F274" s="9" t="s">
        <v>683</v>
      </c>
      <c r="G274" s="11"/>
      <c r="H274" s="11"/>
      <c r="I274" s="12" t="str">
        <f aca="true">IF(H274="","",H274-TODAY())</f>
        <v/>
      </c>
      <c r="J274" s="10" t="s">
        <v>762</v>
      </c>
      <c r="K274" s="13" t="s">
        <v>53</v>
      </c>
      <c r="L274" s="14"/>
      <c r="M274" s="15"/>
      <c r="N274" s="16"/>
      <c r="O274" s="15"/>
      <c r="P274" s="16"/>
      <c r="Q274" s="15"/>
      <c r="R274" s="14"/>
    </row>
    <row r="275" customFormat="false" ht="35.05" hidden="false" customHeight="false" outlineLevel="0" collapsed="false">
      <c r="A275" s="9" t="s">
        <v>709</v>
      </c>
      <c r="B275" s="9" t="n">
        <v>411</v>
      </c>
      <c r="C275" s="10" t="s">
        <v>763</v>
      </c>
      <c r="D275" s="10" t="s">
        <v>764</v>
      </c>
      <c r="E275" s="9" t="s">
        <v>59</v>
      </c>
      <c r="F275" s="9" t="s">
        <v>683</v>
      </c>
      <c r="G275" s="11"/>
      <c r="H275" s="11"/>
      <c r="I275" s="12" t="str">
        <f aca="true">IF(H275="","",H275-TODAY())</f>
        <v/>
      </c>
      <c r="J275" s="10" t="s">
        <v>765</v>
      </c>
      <c r="K275" s="13" t="s">
        <v>53</v>
      </c>
      <c r="L275" s="14"/>
      <c r="M275" s="15"/>
      <c r="N275" s="16"/>
      <c r="O275" s="15"/>
      <c r="P275" s="16"/>
      <c r="Q275" s="15"/>
      <c r="R275" s="14"/>
    </row>
    <row r="276" customFormat="false" ht="35.05" hidden="false" customHeight="false" outlineLevel="0" collapsed="false">
      <c r="A276" s="9" t="s">
        <v>709</v>
      </c>
      <c r="B276" s="9" t="n">
        <v>202</v>
      </c>
      <c r="C276" s="10" t="s">
        <v>766</v>
      </c>
      <c r="D276" s="10" t="s">
        <v>577</v>
      </c>
      <c r="E276" s="9" t="s">
        <v>50</v>
      </c>
      <c r="F276" s="9" t="s">
        <v>683</v>
      </c>
      <c r="G276" s="11"/>
      <c r="H276" s="11"/>
      <c r="I276" s="12" t="str">
        <f aca="true">IF(H276="","",H276-TODAY())</f>
        <v/>
      </c>
      <c r="J276" s="10" t="s">
        <v>767</v>
      </c>
      <c r="K276" s="13" t="s">
        <v>53</v>
      </c>
      <c r="L276" s="14"/>
      <c r="M276" s="15"/>
      <c r="N276" s="16"/>
      <c r="O276" s="15"/>
      <c r="P276" s="16"/>
      <c r="Q276" s="15"/>
      <c r="R276" s="14"/>
    </row>
    <row r="277" customFormat="false" ht="23.85" hidden="false" customHeight="false" outlineLevel="0" collapsed="false">
      <c r="A277" s="9" t="s">
        <v>709</v>
      </c>
      <c r="B277" s="9" t="n">
        <v>893</v>
      </c>
      <c r="C277" s="10" t="s">
        <v>768</v>
      </c>
      <c r="D277" s="10" t="s">
        <v>177</v>
      </c>
      <c r="E277" s="9" t="s">
        <v>59</v>
      </c>
      <c r="F277" s="9" t="s">
        <v>683</v>
      </c>
      <c r="G277" s="11"/>
      <c r="H277" s="11"/>
      <c r="I277" s="12" t="str">
        <f aca="true">IF(H277="","",H277-TODAY())</f>
        <v/>
      </c>
      <c r="J277" s="10" t="s">
        <v>769</v>
      </c>
      <c r="K277" s="13" t="s">
        <v>53</v>
      </c>
      <c r="L277" s="14"/>
      <c r="M277" s="15"/>
      <c r="N277" s="16"/>
      <c r="O277" s="15"/>
      <c r="P277" s="16"/>
      <c r="Q277" s="15"/>
      <c r="R277" s="14"/>
    </row>
    <row r="278" customFormat="false" ht="35.05" hidden="false" customHeight="false" outlineLevel="0" collapsed="false">
      <c r="A278" s="9" t="s">
        <v>709</v>
      </c>
      <c r="B278" s="9" t="n">
        <v>922</v>
      </c>
      <c r="C278" s="10" t="s">
        <v>770</v>
      </c>
      <c r="D278" s="10" t="s">
        <v>186</v>
      </c>
      <c r="E278" s="9" t="s">
        <v>59</v>
      </c>
      <c r="F278" s="9" t="s">
        <v>683</v>
      </c>
      <c r="G278" s="11"/>
      <c r="H278" s="11"/>
      <c r="I278" s="12" t="str">
        <f aca="true">IF(H278="","",H278-TODAY())</f>
        <v/>
      </c>
      <c r="J278" s="10" t="s">
        <v>771</v>
      </c>
      <c r="K278" s="13" t="s">
        <v>53</v>
      </c>
      <c r="L278" s="14"/>
      <c r="M278" s="15"/>
      <c r="N278" s="16"/>
      <c r="O278" s="15"/>
      <c r="P278" s="16"/>
      <c r="Q278" s="15"/>
      <c r="R278" s="14"/>
    </row>
    <row r="279" customFormat="false" ht="15" hidden="false" customHeight="false" outlineLevel="0" collapsed="false">
      <c r="A279" s="9" t="s">
        <v>709</v>
      </c>
      <c r="B279" s="9" t="n">
        <v>9</v>
      </c>
      <c r="C279" s="10" t="s">
        <v>772</v>
      </c>
      <c r="D279" s="10" t="s">
        <v>773</v>
      </c>
      <c r="E279" s="9" t="s">
        <v>59</v>
      </c>
      <c r="F279" s="9" t="s">
        <v>683</v>
      </c>
      <c r="G279" s="11"/>
      <c r="H279" s="11"/>
      <c r="I279" s="12" t="str">
        <f aca="true">IF(H279="","",H279-TODAY())</f>
        <v/>
      </c>
      <c r="J279" s="10"/>
      <c r="K279" s="13" t="s">
        <v>53</v>
      </c>
      <c r="L279" s="14"/>
      <c r="M279" s="15"/>
      <c r="N279" s="16"/>
      <c r="O279" s="15"/>
      <c r="P279" s="16"/>
      <c r="Q279" s="15"/>
      <c r="R279" s="14"/>
    </row>
    <row r="280" customFormat="false" ht="23.85" hidden="false" customHeight="false" outlineLevel="0" collapsed="false">
      <c r="A280" s="9" t="s">
        <v>774</v>
      </c>
      <c r="B280" s="9" t="n">
        <v>45</v>
      </c>
      <c r="C280" s="10" t="s">
        <v>775</v>
      </c>
      <c r="D280" s="10" t="s">
        <v>776</v>
      </c>
      <c r="E280" s="9" t="s">
        <v>50</v>
      </c>
      <c r="F280" s="9" t="s">
        <v>51</v>
      </c>
      <c r="G280" s="11" t="n">
        <v>46307</v>
      </c>
      <c r="H280" s="11" t="n">
        <v>46307</v>
      </c>
      <c r="I280" s="12" t="n">
        <f aca="true">IF(H280="","",H280-TODAY())</f>
        <v>0</v>
      </c>
      <c r="J280" s="10" t="s">
        <v>777</v>
      </c>
      <c r="K280" s="13" t="s">
        <v>53</v>
      </c>
      <c r="L280" s="14"/>
      <c r="M280" s="15"/>
      <c r="N280" s="16"/>
      <c r="O280" s="15"/>
      <c r="P280" s="16"/>
      <c r="Q280" s="15"/>
      <c r="R280" s="14"/>
    </row>
    <row r="281" customFormat="false" ht="46.25" hidden="false" customHeight="false" outlineLevel="0" collapsed="false">
      <c r="A281" s="9" t="s">
        <v>774</v>
      </c>
      <c r="B281" s="9" t="n">
        <v>116</v>
      </c>
      <c r="C281" s="10" t="s">
        <v>778</v>
      </c>
      <c r="D281" s="10" t="s">
        <v>779</v>
      </c>
      <c r="E281" s="9" t="s">
        <v>50</v>
      </c>
      <c r="F281" s="9" t="s">
        <v>51</v>
      </c>
      <c r="G281" s="11" t="n">
        <v>46310</v>
      </c>
      <c r="H281" s="11" t="n">
        <v>46310</v>
      </c>
      <c r="I281" s="12" t="n">
        <f aca="true">IF(H281="","",H281-TODAY())</f>
        <v>3</v>
      </c>
      <c r="J281" s="10" t="s">
        <v>780</v>
      </c>
      <c r="K281" s="13" t="s">
        <v>53</v>
      </c>
      <c r="L281" s="14"/>
      <c r="M281" s="15"/>
      <c r="N281" s="16"/>
      <c r="O281" s="15"/>
      <c r="P281" s="16"/>
      <c r="Q281" s="15"/>
      <c r="R281" s="14"/>
    </row>
    <row r="282" customFormat="false" ht="23.85" hidden="false" customHeight="false" outlineLevel="0" collapsed="false">
      <c r="A282" s="9" t="s">
        <v>774</v>
      </c>
      <c r="B282" s="9" t="n">
        <v>390</v>
      </c>
      <c r="C282" s="10" t="s">
        <v>781</v>
      </c>
      <c r="D282" s="10" t="s">
        <v>782</v>
      </c>
      <c r="E282" s="9" t="s">
        <v>59</v>
      </c>
      <c r="F282" s="9" t="s">
        <v>51</v>
      </c>
      <c r="G282" s="11" t="n">
        <v>46310</v>
      </c>
      <c r="H282" s="11" t="n">
        <v>46310</v>
      </c>
      <c r="I282" s="12" t="n">
        <f aca="true">IF(H282="","",H282-TODAY())</f>
        <v>3</v>
      </c>
      <c r="J282" s="10"/>
      <c r="K282" s="13" t="s">
        <v>53</v>
      </c>
      <c r="L282" s="14"/>
      <c r="M282" s="15"/>
      <c r="N282" s="16"/>
      <c r="O282" s="15"/>
      <c r="P282" s="16"/>
      <c r="Q282" s="15"/>
      <c r="R282" s="14"/>
    </row>
    <row r="283" customFormat="false" ht="23.85" hidden="false" customHeight="false" outlineLevel="0" collapsed="false">
      <c r="A283" s="9" t="s">
        <v>774</v>
      </c>
      <c r="B283" s="9" t="n">
        <v>391</v>
      </c>
      <c r="C283" s="10" t="s">
        <v>783</v>
      </c>
      <c r="D283" s="10" t="s">
        <v>784</v>
      </c>
      <c r="E283" s="9" t="s">
        <v>59</v>
      </c>
      <c r="F283" s="9" t="s">
        <v>51</v>
      </c>
      <c r="G283" s="11" t="n">
        <v>46310</v>
      </c>
      <c r="H283" s="11" t="n">
        <v>46310</v>
      </c>
      <c r="I283" s="12" t="n">
        <f aca="true">IF(H283="","",H283-TODAY())</f>
        <v>3</v>
      </c>
      <c r="J283" s="10"/>
      <c r="K283" s="13" t="s">
        <v>53</v>
      </c>
      <c r="L283" s="14"/>
      <c r="M283" s="15"/>
      <c r="N283" s="16"/>
      <c r="O283" s="15"/>
      <c r="P283" s="16"/>
      <c r="Q283" s="15"/>
      <c r="R283" s="14"/>
    </row>
    <row r="284" customFormat="false" ht="23.85" hidden="false" customHeight="false" outlineLevel="0" collapsed="false">
      <c r="A284" s="9" t="s">
        <v>774</v>
      </c>
      <c r="B284" s="9" t="n">
        <v>449</v>
      </c>
      <c r="C284" s="10" t="s">
        <v>785</v>
      </c>
      <c r="D284" s="10" t="s">
        <v>786</v>
      </c>
      <c r="E284" s="9" t="s">
        <v>59</v>
      </c>
      <c r="F284" s="9" t="s">
        <v>51</v>
      </c>
      <c r="G284" s="11" t="n">
        <v>46310</v>
      </c>
      <c r="H284" s="11" t="n">
        <v>46310</v>
      </c>
      <c r="I284" s="12" t="n">
        <f aca="true">IF(H284="","",H284-TODAY())</f>
        <v>3</v>
      </c>
      <c r="J284" s="10" t="s">
        <v>787</v>
      </c>
      <c r="K284" s="13" t="s">
        <v>53</v>
      </c>
      <c r="L284" s="14"/>
      <c r="M284" s="15"/>
      <c r="N284" s="16"/>
      <c r="O284" s="15"/>
      <c r="P284" s="16"/>
      <c r="Q284" s="15"/>
      <c r="R284" s="14"/>
    </row>
    <row r="285" customFormat="false" ht="91" hidden="false" customHeight="false" outlineLevel="0" collapsed="false">
      <c r="A285" s="9" t="s">
        <v>774</v>
      </c>
      <c r="B285" s="9" t="n">
        <v>522</v>
      </c>
      <c r="C285" s="10" t="s">
        <v>788</v>
      </c>
      <c r="D285" s="10" t="s">
        <v>789</v>
      </c>
      <c r="E285" s="9" t="s">
        <v>50</v>
      </c>
      <c r="F285" s="9" t="s">
        <v>51</v>
      </c>
      <c r="G285" s="11" t="n">
        <v>46310</v>
      </c>
      <c r="H285" s="11" t="n">
        <v>46310</v>
      </c>
      <c r="I285" s="12" t="n">
        <f aca="true">IF(H285="","",H285-TODAY())</f>
        <v>3</v>
      </c>
      <c r="J285" s="10" t="s">
        <v>790</v>
      </c>
      <c r="K285" s="13" t="s">
        <v>53</v>
      </c>
      <c r="L285" s="14"/>
      <c r="M285" s="15"/>
      <c r="N285" s="16"/>
      <c r="O285" s="15"/>
      <c r="P285" s="16"/>
      <c r="Q285" s="15"/>
      <c r="R285" s="14"/>
    </row>
    <row r="286" customFormat="false" ht="15" hidden="false" customHeight="false" outlineLevel="0" collapsed="false">
      <c r="A286" s="9" t="s">
        <v>774</v>
      </c>
      <c r="B286" s="9" t="n">
        <v>56</v>
      </c>
      <c r="C286" s="10" t="s">
        <v>791</v>
      </c>
      <c r="D286" s="10" t="s">
        <v>792</v>
      </c>
      <c r="E286" s="9" t="s">
        <v>59</v>
      </c>
      <c r="F286" s="9" t="s">
        <v>51</v>
      </c>
      <c r="G286" s="11" t="n">
        <v>46310</v>
      </c>
      <c r="H286" s="11" t="n">
        <v>46310</v>
      </c>
      <c r="I286" s="12" t="n">
        <f aca="true">IF(H286="","",H286-TODAY())</f>
        <v>3</v>
      </c>
      <c r="J286" s="10" t="s">
        <v>793</v>
      </c>
      <c r="K286" s="13" t="s">
        <v>53</v>
      </c>
      <c r="L286" s="14"/>
      <c r="M286" s="15"/>
      <c r="N286" s="16"/>
      <c r="O286" s="15"/>
      <c r="P286" s="16"/>
      <c r="Q286" s="15"/>
      <c r="R286" s="14"/>
    </row>
    <row r="287" customFormat="false" ht="23.85" hidden="false" customHeight="false" outlineLevel="0" collapsed="false">
      <c r="A287" s="9" t="s">
        <v>774</v>
      </c>
      <c r="B287" s="9" t="n">
        <v>185</v>
      </c>
      <c r="C287" s="10" t="s">
        <v>794</v>
      </c>
      <c r="D287" s="10" t="s">
        <v>448</v>
      </c>
      <c r="E287" s="9" t="s">
        <v>59</v>
      </c>
      <c r="F287" s="9" t="s">
        <v>51</v>
      </c>
      <c r="G287" s="11" t="n">
        <v>46310</v>
      </c>
      <c r="H287" s="11" t="n">
        <v>46310</v>
      </c>
      <c r="I287" s="12" t="n">
        <f aca="true">IF(H287="","",H287-TODAY())</f>
        <v>3</v>
      </c>
      <c r="J287" s="10" t="s">
        <v>795</v>
      </c>
      <c r="K287" s="13" t="s">
        <v>53</v>
      </c>
      <c r="L287" s="14"/>
      <c r="M287" s="15"/>
      <c r="N287" s="16"/>
      <c r="O287" s="15"/>
      <c r="P287" s="16"/>
      <c r="Q287" s="15"/>
      <c r="R287" s="14"/>
    </row>
    <row r="288" customFormat="false" ht="35.05" hidden="false" customHeight="false" outlineLevel="0" collapsed="false">
      <c r="A288" s="9" t="s">
        <v>774</v>
      </c>
      <c r="B288" s="9" t="n">
        <v>530</v>
      </c>
      <c r="C288" s="10" t="s">
        <v>796</v>
      </c>
      <c r="D288" s="10" t="s">
        <v>797</v>
      </c>
      <c r="E288" s="9" t="s">
        <v>59</v>
      </c>
      <c r="F288" s="9" t="s">
        <v>51</v>
      </c>
      <c r="G288" s="11" t="n">
        <v>46310</v>
      </c>
      <c r="H288" s="11" t="n">
        <v>46310</v>
      </c>
      <c r="I288" s="12" t="n">
        <f aca="true">IF(H288="","",H288-TODAY())</f>
        <v>3</v>
      </c>
      <c r="J288" s="10" t="s">
        <v>798</v>
      </c>
      <c r="K288" s="13" t="s">
        <v>53</v>
      </c>
      <c r="L288" s="14"/>
      <c r="M288" s="15"/>
      <c r="N288" s="16"/>
      <c r="O288" s="15"/>
      <c r="P288" s="16"/>
      <c r="Q288" s="15"/>
      <c r="R288" s="14"/>
    </row>
    <row r="289" customFormat="false" ht="23.85" hidden="false" customHeight="false" outlineLevel="0" collapsed="false">
      <c r="A289" s="9" t="s">
        <v>774</v>
      </c>
      <c r="B289" s="9" t="n">
        <v>402</v>
      </c>
      <c r="C289" s="10" t="s">
        <v>799</v>
      </c>
      <c r="D289" s="10" t="s">
        <v>430</v>
      </c>
      <c r="E289" s="9" t="s">
        <v>50</v>
      </c>
      <c r="F289" s="9" t="s">
        <v>51</v>
      </c>
      <c r="G289" s="11" t="n">
        <v>46310</v>
      </c>
      <c r="H289" s="11" t="n">
        <v>46310</v>
      </c>
      <c r="I289" s="12" t="n">
        <f aca="true">IF(H289="","",H289-TODAY())</f>
        <v>3</v>
      </c>
      <c r="J289" s="10" t="s">
        <v>800</v>
      </c>
      <c r="K289" s="13" t="s">
        <v>53</v>
      </c>
      <c r="L289" s="14"/>
      <c r="M289" s="15"/>
      <c r="N289" s="16"/>
      <c r="O289" s="15"/>
      <c r="P289" s="16"/>
      <c r="Q289" s="15"/>
      <c r="R289" s="14"/>
    </row>
    <row r="290" customFormat="false" ht="35.05" hidden="false" customHeight="false" outlineLevel="0" collapsed="false">
      <c r="A290" s="9" t="s">
        <v>774</v>
      </c>
      <c r="B290" s="9" t="n">
        <v>217</v>
      </c>
      <c r="C290" s="10" t="s">
        <v>801</v>
      </c>
      <c r="D290" s="10" t="s">
        <v>299</v>
      </c>
      <c r="E290" s="9" t="s">
        <v>50</v>
      </c>
      <c r="F290" s="9" t="s">
        <v>51</v>
      </c>
      <c r="G290" s="11" t="n">
        <v>46310</v>
      </c>
      <c r="H290" s="11" t="n">
        <v>46310</v>
      </c>
      <c r="I290" s="12" t="n">
        <f aca="true">IF(H290="","",H290-TODAY())</f>
        <v>3</v>
      </c>
      <c r="J290" s="10" t="s">
        <v>802</v>
      </c>
      <c r="K290" s="13" t="s">
        <v>53</v>
      </c>
      <c r="L290" s="14"/>
      <c r="M290" s="15"/>
      <c r="N290" s="16"/>
      <c r="O290" s="15"/>
      <c r="P290" s="16"/>
      <c r="Q290" s="15"/>
      <c r="R290" s="14"/>
    </row>
    <row r="291" customFormat="false" ht="35.05" hidden="false" customHeight="false" outlineLevel="0" collapsed="false">
      <c r="A291" s="9" t="s">
        <v>774</v>
      </c>
      <c r="B291" s="9" t="n">
        <v>749</v>
      </c>
      <c r="C291" s="10" t="s">
        <v>803</v>
      </c>
      <c r="D291" s="10" t="s">
        <v>299</v>
      </c>
      <c r="E291" s="9" t="s">
        <v>59</v>
      </c>
      <c r="F291" s="9" t="s">
        <v>51</v>
      </c>
      <c r="G291" s="11" t="n">
        <v>46310</v>
      </c>
      <c r="H291" s="11" t="n">
        <v>46310</v>
      </c>
      <c r="I291" s="12" t="n">
        <f aca="true">IF(H291="","",H291-TODAY())</f>
        <v>3</v>
      </c>
      <c r="J291" s="10" t="s">
        <v>804</v>
      </c>
      <c r="K291" s="13" t="s">
        <v>53</v>
      </c>
      <c r="L291" s="14"/>
      <c r="M291" s="15"/>
      <c r="N291" s="16"/>
      <c r="O291" s="15"/>
      <c r="P291" s="16"/>
      <c r="Q291" s="15"/>
      <c r="R291" s="14"/>
    </row>
    <row r="292" customFormat="false" ht="57.45" hidden="false" customHeight="false" outlineLevel="0" collapsed="false">
      <c r="A292" s="9" t="s">
        <v>774</v>
      </c>
      <c r="B292" s="9" t="n">
        <v>112</v>
      </c>
      <c r="C292" s="10" t="s">
        <v>805</v>
      </c>
      <c r="D292" s="10" t="s">
        <v>550</v>
      </c>
      <c r="E292" s="9" t="s">
        <v>59</v>
      </c>
      <c r="F292" s="9" t="s">
        <v>51</v>
      </c>
      <c r="G292" s="11" t="n">
        <v>46314</v>
      </c>
      <c r="H292" s="11" t="n">
        <v>46314</v>
      </c>
      <c r="I292" s="12" t="n">
        <f aca="true">IF(H292="","",H292-TODAY())</f>
        <v>7</v>
      </c>
      <c r="J292" s="10" t="s">
        <v>806</v>
      </c>
      <c r="K292" s="13" t="s">
        <v>53</v>
      </c>
      <c r="L292" s="14"/>
      <c r="M292" s="15"/>
      <c r="N292" s="16"/>
      <c r="O292" s="15"/>
      <c r="P292" s="16"/>
      <c r="Q292" s="15"/>
      <c r="R292" s="14"/>
    </row>
    <row r="293" customFormat="false" ht="35.05" hidden="false" customHeight="false" outlineLevel="0" collapsed="false">
      <c r="A293" s="9" t="s">
        <v>774</v>
      </c>
      <c r="B293" s="9" t="n">
        <v>1079</v>
      </c>
      <c r="C293" s="10" t="s">
        <v>807</v>
      </c>
      <c r="D293" s="10" t="s">
        <v>808</v>
      </c>
      <c r="E293" s="9" t="s">
        <v>59</v>
      </c>
      <c r="F293" s="9" t="s">
        <v>51</v>
      </c>
      <c r="G293" s="11" t="n">
        <v>46315</v>
      </c>
      <c r="H293" s="11" t="n">
        <v>46315</v>
      </c>
      <c r="I293" s="12" t="n">
        <f aca="true">IF(H293="","",H293-TODAY())</f>
        <v>8</v>
      </c>
      <c r="J293" s="10" t="s">
        <v>809</v>
      </c>
      <c r="K293" s="13" t="s">
        <v>53</v>
      </c>
      <c r="L293" s="14"/>
      <c r="M293" s="15"/>
      <c r="N293" s="16"/>
      <c r="O293" s="15"/>
      <c r="P293" s="16"/>
      <c r="Q293" s="15"/>
      <c r="R293" s="14"/>
    </row>
    <row r="294" customFormat="false" ht="46.25" hidden="false" customHeight="false" outlineLevel="0" collapsed="false">
      <c r="A294" s="9" t="s">
        <v>774</v>
      </c>
      <c r="B294" s="9" t="n">
        <v>385</v>
      </c>
      <c r="C294" s="10" t="s">
        <v>810</v>
      </c>
      <c r="D294" s="10" t="s">
        <v>550</v>
      </c>
      <c r="E294" s="9" t="s">
        <v>59</v>
      </c>
      <c r="F294" s="9" t="s">
        <v>51</v>
      </c>
      <c r="G294" s="11" t="n">
        <v>46316</v>
      </c>
      <c r="H294" s="11" t="n">
        <v>46316</v>
      </c>
      <c r="I294" s="12" t="n">
        <f aca="true">IF(H294="","",H294-TODAY())</f>
        <v>9</v>
      </c>
      <c r="J294" s="10" t="s">
        <v>811</v>
      </c>
      <c r="K294" s="13" t="s">
        <v>53</v>
      </c>
      <c r="L294" s="14"/>
      <c r="M294" s="15"/>
      <c r="N294" s="16"/>
      <c r="O294" s="15"/>
      <c r="P294" s="16"/>
      <c r="Q294" s="15"/>
      <c r="R294" s="14"/>
    </row>
    <row r="295" customFormat="false" ht="57.45" hidden="false" customHeight="false" outlineLevel="0" collapsed="false">
      <c r="A295" s="9" t="s">
        <v>774</v>
      </c>
      <c r="B295" s="9" t="n">
        <v>451</v>
      </c>
      <c r="C295" s="10" t="s">
        <v>812</v>
      </c>
      <c r="D295" s="10" t="s">
        <v>813</v>
      </c>
      <c r="E295" s="9" t="s">
        <v>59</v>
      </c>
      <c r="F295" s="9" t="s">
        <v>51</v>
      </c>
      <c r="G295" s="11" t="n">
        <v>46318</v>
      </c>
      <c r="H295" s="11" t="n">
        <v>46318</v>
      </c>
      <c r="I295" s="12" t="n">
        <f aca="true">IF(H295="","",H295-TODAY())</f>
        <v>11</v>
      </c>
      <c r="J295" s="10" t="s">
        <v>814</v>
      </c>
      <c r="K295" s="13" t="s">
        <v>53</v>
      </c>
      <c r="L295" s="14"/>
      <c r="M295" s="15"/>
      <c r="N295" s="16"/>
      <c r="O295" s="15"/>
      <c r="P295" s="16"/>
      <c r="Q295" s="15"/>
      <c r="R295" s="14"/>
    </row>
    <row r="296" customFormat="false" ht="23.85" hidden="false" customHeight="false" outlineLevel="0" collapsed="false">
      <c r="A296" s="9" t="s">
        <v>774</v>
      </c>
      <c r="B296" s="9" t="n">
        <v>190</v>
      </c>
      <c r="C296" s="10" t="s">
        <v>815</v>
      </c>
      <c r="D296" s="10" t="s">
        <v>816</v>
      </c>
      <c r="E296" s="9" t="s">
        <v>50</v>
      </c>
      <c r="F296" s="9" t="s">
        <v>51</v>
      </c>
      <c r="G296" s="11" t="n">
        <v>46320</v>
      </c>
      <c r="H296" s="11" t="n">
        <v>46320</v>
      </c>
      <c r="I296" s="12" t="n">
        <f aca="true">IF(H296="","",H296-TODAY())</f>
        <v>13</v>
      </c>
      <c r="J296" s="10" t="s">
        <v>817</v>
      </c>
      <c r="K296" s="13" t="s">
        <v>53</v>
      </c>
      <c r="L296" s="14"/>
      <c r="M296" s="15"/>
      <c r="N296" s="16"/>
      <c r="O296" s="15"/>
      <c r="P296" s="16"/>
      <c r="Q296" s="15"/>
      <c r="R296" s="14"/>
    </row>
    <row r="297" customFormat="false" ht="23.85" hidden="false" customHeight="false" outlineLevel="0" collapsed="false">
      <c r="A297" s="9" t="s">
        <v>774</v>
      </c>
      <c r="B297" s="9" t="n">
        <v>50</v>
      </c>
      <c r="C297" s="10" t="s">
        <v>818</v>
      </c>
      <c r="D297" s="10" t="s">
        <v>819</v>
      </c>
      <c r="E297" s="9" t="s">
        <v>59</v>
      </c>
      <c r="F297" s="9" t="s">
        <v>51</v>
      </c>
      <c r="G297" s="11" t="n">
        <v>46320</v>
      </c>
      <c r="H297" s="11" t="n">
        <v>46320</v>
      </c>
      <c r="I297" s="12" t="n">
        <f aca="true">IF(H297="","",H297-TODAY())</f>
        <v>13</v>
      </c>
      <c r="J297" s="10" t="s">
        <v>820</v>
      </c>
      <c r="K297" s="13" t="s">
        <v>53</v>
      </c>
      <c r="L297" s="14"/>
      <c r="M297" s="15"/>
      <c r="N297" s="16"/>
      <c r="O297" s="15"/>
      <c r="P297" s="16"/>
      <c r="Q297" s="15"/>
      <c r="R297" s="14"/>
    </row>
    <row r="298" customFormat="false" ht="68.65" hidden="false" customHeight="false" outlineLevel="0" collapsed="false">
      <c r="A298" s="9" t="s">
        <v>774</v>
      </c>
      <c r="B298" s="9" t="n">
        <v>679</v>
      </c>
      <c r="C298" s="10" t="s">
        <v>821</v>
      </c>
      <c r="D298" s="10" t="s">
        <v>822</v>
      </c>
      <c r="E298" s="9" t="s">
        <v>59</v>
      </c>
      <c r="F298" s="9" t="s">
        <v>63</v>
      </c>
      <c r="G298" s="11" t="n">
        <v>46322</v>
      </c>
      <c r="H298" s="11" t="n">
        <v>46322</v>
      </c>
      <c r="I298" s="12" t="n">
        <f aca="true">IF(H298="","",H298-TODAY())</f>
        <v>15</v>
      </c>
      <c r="J298" s="10" t="s">
        <v>823</v>
      </c>
      <c r="K298" s="13" t="s">
        <v>53</v>
      </c>
      <c r="L298" s="14"/>
      <c r="M298" s="15"/>
      <c r="N298" s="16"/>
      <c r="O298" s="15"/>
      <c r="P298" s="16"/>
      <c r="Q298" s="15"/>
      <c r="R298" s="14"/>
    </row>
    <row r="299" customFormat="false" ht="23.85" hidden="false" customHeight="false" outlineLevel="0" collapsed="false">
      <c r="A299" s="9" t="s">
        <v>774</v>
      </c>
      <c r="B299" s="9" t="n">
        <v>604</v>
      </c>
      <c r="C299" s="10" t="s">
        <v>824</v>
      </c>
      <c r="D299" s="10" t="s">
        <v>825</v>
      </c>
      <c r="E299" s="9" t="s">
        <v>59</v>
      </c>
      <c r="F299" s="9" t="s">
        <v>365</v>
      </c>
      <c r="G299" s="11" t="n">
        <v>46323</v>
      </c>
      <c r="H299" s="11" t="n">
        <v>46323</v>
      </c>
      <c r="I299" s="12" t="n">
        <f aca="true">IF(H299="","",H299-TODAY())</f>
        <v>16</v>
      </c>
      <c r="J299" s="10"/>
      <c r="K299" s="13" t="s">
        <v>53</v>
      </c>
      <c r="L299" s="14"/>
      <c r="M299" s="15"/>
      <c r="N299" s="16"/>
      <c r="O299" s="15"/>
      <c r="P299" s="16"/>
      <c r="Q299" s="15"/>
      <c r="R299" s="14"/>
    </row>
    <row r="300" customFormat="false" ht="35.05" hidden="false" customHeight="false" outlineLevel="0" collapsed="false">
      <c r="A300" s="9" t="s">
        <v>774</v>
      </c>
      <c r="B300" s="9" t="n">
        <v>120</v>
      </c>
      <c r="C300" s="10" t="s">
        <v>826</v>
      </c>
      <c r="D300" s="10" t="s">
        <v>827</v>
      </c>
      <c r="E300" s="9" t="s">
        <v>59</v>
      </c>
      <c r="F300" s="9" t="s">
        <v>51</v>
      </c>
      <c r="G300" s="11" t="n">
        <v>46323</v>
      </c>
      <c r="H300" s="11" t="n">
        <v>46323</v>
      </c>
      <c r="I300" s="12" t="n">
        <f aca="true">IF(H300="","",H300-TODAY())</f>
        <v>16</v>
      </c>
      <c r="J300" s="10" t="s">
        <v>828</v>
      </c>
      <c r="K300" s="13" t="s">
        <v>53</v>
      </c>
      <c r="L300" s="14"/>
      <c r="M300" s="15"/>
      <c r="N300" s="16"/>
      <c r="O300" s="15"/>
      <c r="P300" s="16"/>
      <c r="Q300" s="15"/>
      <c r="R300" s="14"/>
    </row>
    <row r="301" customFormat="false" ht="23.85" hidden="false" customHeight="false" outlineLevel="0" collapsed="false">
      <c r="A301" s="9" t="s">
        <v>774</v>
      </c>
      <c r="B301" s="9" t="n">
        <v>718</v>
      </c>
      <c r="C301" s="10" t="s">
        <v>829</v>
      </c>
      <c r="D301" s="10" t="s">
        <v>830</v>
      </c>
      <c r="E301" s="9" t="s">
        <v>59</v>
      </c>
      <c r="F301" s="9" t="s">
        <v>63</v>
      </c>
      <c r="G301" s="11" t="n">
        <v>46323</v>
      </c>
      <c r="H301" s="11" t="n">
        <v>46323</v>
      </c>
      <c r="I301" s="12" t="n">
        <f aca="true">IF(H301="","",H301-TODAY())</f>
        <v>16</v>
      </c>
      <c r="J301" s="10" t="s">
        <v>831</v>
      </c>
      <c r="K301" s="13" t="s">
        <v>53</v>
      </c>
      <c r="L301" s="14"/>
      <c r="M301" s="15"/>
      <c r="N301" s="16"/>
      <c r="O301" s="15"/>
      <c r="P301" s="16"/>
      <c r="Q301" s="15"/>
      <c r="R301" s="14"/>
    </row>
    <row r="302" customFormat="false" ht="35.05" hidden="false" customHeight="false" outlineLevel="0" collapsed="false">
      <c r="A302" s="9" t="s">
        <v>774</v>
      </c>
      <c r="B302" s="9" t="n">
        <v>138</v>
      </c>
      <c r="C302" s="10" t="s">
        <v>832</v>
      </c>
      <c r="D302" s="10" t="s">
        <v>833</v>
      </c>
      <c r="E302" s="9" t="s">
        <v>59</v>
      </c>
      <c r="F302" s="9" t="s">
        <v>51</v>
      </c>
      <c r="G302" s="11" t="n">
        <v>46324</v>
      </c>
      <c r="H302" s="11" t="n">
        <v>46324</v>
      </c>
      <c r="I302" s="12" t="n">
        <f aca="true">IF(H302="","",H302-TODAY())</f>
        <v>17</v>
      </c>
      <c r="J302" s="10" t="s">
        <v>834</v>
      </c>
      <c r="K302" s="13" t="s">
        <v>53</v>
      </c>
      <c r="L302" s="14"/>
      <c r="M302" s="15"/>
      <c r="N302" s="16"/>
      <c r="O302" s="15"/>
      <c r="P302" s="16"/>
      <c r="Q302" s="15"/>
      <c r="R302" s="14"/>
    </row>
    <row r="303" customFormat="false" ht="23.85" hidden="false" customHeight="false" outlineLevel="0" collapsed="false">
      <c r="A303" s="9" t="s">
        <v>774</v>
      </c>
      <c r="B303" s="9" t="n">
        <v>108</v>
      </c>
      <c r="C303" s="10" t="s">
        <v>835</v>
      </c>
      <c r="D303" s="10" t="s">
        <v>836</v>
      </c>
      <c r="E303" s="9" t="s">
        <v>50</v>
      </c>
      <c r="F303" s="9" t="s">
        <v>51</v>
      </c>
      <c r="G303" s="11" t="n">
        <v>46325</v>
      </c>
      <c r="H303" s="11" t="n">
        <v>46325</v>
      </c>
      <c r="I303" s="12" t="n">
        <f aca="true">IF(H303="","",H303-TODAY())</f>
        <v>18</v>
      </c>
      <c r="J303" s="10" t="s">
        <v>837</v>
      </c>
      <c r="K303" s="13" t="s">
        <v>53</v>
      </c>
      <c r="L303" s="14"/>
      <c r="M303" s="15"/>
      <c r="N303" s="16"/>
      <c r="O303" s="15"/>
      <c r="P303" s="16"/>
      <c r="Q303" s="15"/>
      <c r="R303" s="14"/>
    </row>
    <row r="304" customFormat="false" ht="46.25" hidden="false" customHeight="false" outlineLevel="0" collapsed="false">
      <c r="A304" s="9" t="s">
        <v>774</v>
      </c>
      <c r="B304" s="9" t="n">
        <v>23</v>
      </c>
      <c r="C304" s="10" t="s">
        <v>838</v>
      </c>
      <c r="D304" s="10" t="s">
        <v>839</v>
      </c>
      <c r="E304" s="9" t="s">
        <v>59</v>
      </c>
      <c r="F304" s="9" t="s">
        <v>51</v>
      </c>
      <c r="G304" s="11" t="n">
        <v>46325</v>
      </c>
      <c r="H304" s="11" t="n">
        <v>46325</v>
      </c>
      <c r="I304" s="12" t="n">
        <f aca="true">IF(H304="","",H304-TODAY())</f>
        <v>18</v>
      </c>
      <c r="J304" s="10" t="s">
        <v>840</v>
      </c>
      <c r="K304" s="13" t="s">
        <v>53</v>
      </c>
      <c r="L304" s="14"/>
      <c r="M304" s="15"/>
      <c r="N304" s="16"/>
      <c r="O304" s="15"/>
      <c r="P304" s="16"/>
      <c r="Q304" s="15"/>
      <c r="R304" s="14"/>
    </row>
    <row r="305" customFormat="false" ht="57.45" hidden="false" customHeight="false" outlineLevel="0" collapsed="false">
      <c r="A305" s="9" t="s">
        <v>774</v>
      </c>
      <c r="B305" s="9" t="n">
        <v>223</v>
      </c>
      <c r="C305" s="10" t="s">
        <v>841</v>
      </c>
      <c r="D305" s="10" t="s">
        <v>842</v>
      </c>
      <c r="E305" s="9" t="s">
        <v>59</v>
      </c>
      <c r="F305" s="9" t="s">
        <v>51</v>
      </c>
      <c r="G305" s="11" t="n">
        <v>46325</v>
      </c>
      <c r="H305" s="11" t="n">
        <v>46325</v>
      </c>
      <c r="I305" s="12" t="n">
        <f aca="true">IF(H305="","",H305-TODAY())</f>
        <v>18</v>
      </c>
      <c r="J305" s="10" t="s">
        <v>843</v>
      </c>
      <c r="K305" s="13" t="s">
        <v>53</v>
      </c>
      <c r="L305" s="14"/>
      <c r="M305" s="15"/>
      <c r="N305" s="16"/>
      <c r="O305" s="15"/>
      <c r="P305" s="16"/>
      <c r="Q305" s="15"/>
      <c r="R305" s="14"/>
    </row>
    <row r="306" customFormat="false" ht="35.05" hidden="false" customHeight="false" outlineLevel="0" collapsed="false">
      <c r="A306" s="9" t="s">
        <v>774</v>
      </c>
      <c r="B306" s="9" t="n">
        <v>581</v>
      </c>
      <c r="C306" s="10" t="s">
        <v>844</v>
      </c>
      <c r="D306" s="10" t="s">
        <v>845</v>
      </c>
      <c r="E306" s="9" t="s">
        <v>59</v>
      </c>
      <c r="F306" s="9" t="s">
        <v>63</v>
      </c>
      <c r="G306" s="11" t="n">
        <v>46325</v>
      </c>
      <c r="H306" s="11" t="n">
        <v>46325</v>
      </c>
      <c r="I306" s="12" t="n">
        <f aca="true">IF(H306="","",H306-TODAY())</f>
        <v>18</v>
      </c>
      <c r="J306" s="10" t="s">
        <v>846</v>
      </c>
      <c r="K306" s="13" t="s">
        <v>53</v>
      </c>
      <c r="L306" s="14"/>
      <c r="M306" s="15"/>
      <c r="N306" s="16"/>
      <c r="O306" s="15"/>
      <c r="P306" s="16"/>
      <c r="Q306" s="15"/>
      <c r="R306" s="14"/>
    </row>
    <row r="307" customFormat="false" ht="23.85" hidden="false" customHeight="false" outlineLevel="0" collapsed="false">
      <c r="A307" s="9" t="s">
        <v>774</v>
      </c>
      <c r="B307" s="9" t="n">
        <v>580</v>
      </c>
      <c r="C307" s="10" t="s">
        <v>847</v>
      </c>
      <c r="D307" s="10" t="s">
        <v>848</v>
      </c>
      <c r="E307" s="9" t="s">
        <v>50</v>
      </c>
      <c r="F307" s="9" t="s">
        <v>51</v>
      </c>
      <c r="G307" s="11" t="n">
        <v>46325</v>
      </c>
      <c r="H307" s="11" t="n">
        <v>46325</v>
      </c>
      <c r="I307" s="12" t="n">
        <f aca="true">IF(H307="","",H307-TODAY())</f>
        <v>18</v>
      </c>
      <c r="J307" s="10" t="s">
        <v>849</v>
      </c>
      <c r="K307" s="13" t="s">
        <v>53</v>
      </c>
      <c r="L307" s="14"/>
      <c r="M307" s="15"/>
      <c r="N307" s="16"/>
      <c r="O307" s="15"/>
      <c r="P307" s="16"/>
      <c r="Q307" s="15"/>
      <c r="R307" s="14"/>
    </row>
    <row r="308" customFormat="false" ht="23.85" hidden="false" customHeight="false" outlineLevel="0" collapsed="false">
      <c r="A308" s="9" t="s">
        <v>774</v>
      </c>
      <c r="B308" s="9" t="n">
        <v>232</v>
      </c>
      <c r="C308" s="10" t="s">
        <v>850</v>
      </c>
      <c r="D308" s="10" t="s">
        <v>839</v>
      </c>
      <c r="E308" s="9" t="s">
        <v>59</v>
      </c>
      <c r="F308" s="9" t="s">
        <v>98</v>
      </c>
      <c r="G308" s="11" t="n">
        <v>46325</v>
      </c>
      <c r="H308" s="11" t="n">
        <v>46325</v>
      </c>
      <c r="I308" s="12" t="n">
        <f aca="true">IF(H308="","",H308-TODAY())</f>
        <v>18</v>
      </c>
      <c r="J308" s="10"/>
      <c r="K308" s="13" t="s">
        <v>53</v>
      </c>
      <c r="L308" s="14"/>
      <c r="M308" s="15"/>
      <c r="N308" s="16"/>
      <c r="O308" s="15"/>
      <c r="P308" s="16"/>
      <c r="Q308" s="15"/>
      <c r="R308" s="14"/>
    </row>
    <row r="309" customFormat="false" ht="23.85" hidden="false" customHeight="false" outlineLevel="0" collapsed="false">
      <c r="A309" s="9" t="s">
        <v>774</v>
      </c>
      <c r="B309" s="9" t="n">
        <v>210</v>
      </c>
      <c r="C309" s="10" t="s">
        <v>851</v>
      </c>
      <c r="D309" s="10" t="s">
        <v>852</v>
      </c>
      <c r="E309" s="9" t="s">
        <v>50</v>
      </c>
      <c r="F309" s="9" t="s">
        <v>51</v>
      </c>
      <c r="G309" s="11" t="n">
        <v>46327</v>
      </c>
      <c r="H309" s="11" t="n">
        <v>46327</v>
      </c>
      <c r="I309" s="12" t="n">
        <f aca="true">IF(H309="","",H309-TODAY())</f>
        <v>20</v>
      </c>
      <c r="J309" s="10" t="s">
        <v>853</v>
      </c>
      <c r="K309" s="13" t="s">
        <v>53</v>
      </c>
      <c r="L309" s="14"/>
      <c r="M309" s="15"/>
      <c r="N309" s="16"/>
      <c r="O309" s="15"/>
      <c r="P309" s="16"/>
      <c r="Q309" s="15"/>
      <c r="R309" s="14"/>
    </row>
    <row r="310" customFormat="false" ht="23.85" hidden="false" customHeight="false" outlineLevel="0" collapsed="false">
      <c r="A310" s="9" t="s">
        <v>774</v>
      </c>
      <c r="B310" s="9" t="n">
        <v>155</v>
      </c>
      <c r="C310" s="10" t="s">
        <v>854</v>
      </c>
      <c r="D310" s="10" t="s">
        <v>62</v>
      </c>
      <c r="E310" s="9" t="s">
        <v>59</v>
      </c>
      <c r="F310" s="9" t="s">
        <v>51</v>
      </c>
      <c r="G310" s="11" t="n">
        <v>46327</v>
      </c>
      <c r="H310" s="11" t="n">
        <v>46327</v>
      </c>
      <c r="I310" s="12" t="n">
        <f aca="true">IF(H310="","",H310-TODAY())</f>
        <v>20</v>
      </c>
      <c r="J310" s="10"/>
      <c r="K310" s="13" t="s">
        <v>53</v>
      </c>
      <c r="L310" s="14"/>
      <c r="M310" s="15"/>
      <c r="N310" s="16"/>
      <c r="O310" s="15"/>
      <c r="P310" s="16"/>
      <c r="Q310" s="15"/>
      <c r="R310" s="14"/>
    </row>
    <row r="311" customFormat="false" ht="23.85" hidden="false" customHeight="false" outlineLevel="0" collapsed="false">
      <c r="A311" s="9" t="s">
        <v>774</v>
      </c>
      <c r="B311" s="9" t="n">
        <v>150</v>
      </c>
      <c r="C311" s="10" t="s">
        <v>855</v>
      </c>
      <c r="D311" s="10" t="s">
        <v>856</v>
      </c>
      <c r="E311" s="9" t="s">
        <v>50</v>
      </c>
      <c r="F311" s="9" t="s">
        <v>63</v>
      </c>
      <c r="G311" s="11" t="n">
        <v>46327</v>
      </c>
      <c r="H311" s="11" t="n">
        <v>46327</v>
      </c>
      <c r="I311" s="12" t="n">
        <f aca="true">IF(H311="","",H311-TODAY())</f>
        <v>20</v>
      </c>
      <c r="J311" s="10" t="s">
        <v>857</v>
      </c>
      <c r="K311" s="13" t="s">
        <v>53</v>
      </c>
      <c r="L311" s="14"/>
      <c r="M311" s="15"/>
      <c r="N311" s="16"/>
      <c r="O311" s="15"/>
      <c r="P311" s="16"/>
      <c r="Q311" s="15"/>
      <c r="R311" s="14"/>
    </row>
    <row r="312" customFormat="false" ht="46.25" hidden="false" customHeight="false" outlineLevel="0" collapsed="false">
      <c r="A312" s="9" t="s">
        <v>774</v>
      </c>
      <c r="B312" s="9" t="n">
        <v>135</v>
      </c>
      <c r="C312" s="10" t="s">
        <v>858</v>
      </c>
      <c r="D312" s="10" t="s">
        <v>859</v>
      </c>
      <c r="E312" s="9" t="s">
        <v>50</v>
      </c>
      <c r="F312" s="9" t="s">
        <v>51</v>
      </c>
      <c r="G312" s="11" t="n">
        <v>46327</v>
      </c>
      <c r="H312" s="11" t="n">
        <v>46327</v>
      </c>
      <c r="I312" s="12" t="n">
        <f aca="true">IF(H312="","",H312-TODAY())</f>
        <v>20</v>
      </c>
      <c r="J312" s="10" t="s">
        <v>860</v>
      </c>
      <c r="K312" s="13" t="s">
        <v>53</v>
      </c>
      <c r="L312" s="14"/>
      <c r="M312" s="15"/>
      <c r="N312" s="16"/>
      <c r="O312" s="15"/>
      <c r="P312" s="16"/>
      <c r="Q312" s="15"/>
      <c r="R312" s="14"/>
    </row>
    <row r="313" customFormat="false" ht="35.05" hidden="false" customHeight="false" outlineLevel="0" collapsed="false">
      <c r="A313" s="9" t="s">
        <v>774</v>
      </c>
      <c r="B313" s="9" t="n">
        <v>86</v>
      </c>
      <c r="C313" s="10" t="s">
        <v>861</v>
      </c>
      <c r="D313" s="10" t="s">
        <v>862</v>
      </c>
      <c r="E313" s="9" t="s">
        <v>59</v>
      </c>
      <c r="F313" s="9" t="s">
        <v>51</v>
      </c>
      <c r="G313" s="11" t="n">
        <v>46327</v>
      </c>
      <c r="H313" s="11" t="n">
        <v>46327</v>
      </c>
      <c r="I313" s="12" t="n">
        <f aca="true">IF(H313="","",H313-TODAY())</f>
        <v>20</v>
      </c>
      <c r="J313" s="10" t="s">
        <v>863</v>
      </c>
      <c r="K313" s="13" t="s">
        <v>53</v>
      </c>
      <c r="L313" s="14"/>
      <c r="M313" s="15"/>
      <c r="N313" s="16"/>
      <c r="O313" s="15"/>
      <c r="P313" s="16"/>
      <c r="Q313" s="15"/>
      <c r="R313" s="14"/>
    </row>
    <row r="314" customFormat="false" ht="35.05" hidden="false" customHeight="false" outlineLevel="0" collapsed="false">
      <c r="A314" s="9" t="s">
        <v>774</v>
      </c>
      <c r="B314" s="9" t="n">
        <v>83</v>
      </c>
      <c r="C314" s="10" t="s">
        <v>864</v>
      </c>
      <c r="D314" s="10" t="s">
        <v>865</v>
      </c>
      <c r="E314" s="9" t="s">
        <v>59</v>
      </c>
      <c r="F314" s="9" t="s">
        <v>51</v>
      </c>
      <c r="G314" s="11" t="n">
        <v>46327</v>
      </c>
      <c r="H314" s="11" t="n">
        <v>46327</v>
      </c>
      <c r="I314" s="12" t="n">
        <f aca="true">IF(H314="","",H314-TODAY())</f>
        <v>20</v>
      </c>
      <c r="J314" s="10" t="s">
        <v>866</v>
      </c>
      <c r="K314" s="13" t="s">
        <v>53</v>
      </c>
      <c r="L314" s="14"/>
      <c r="M314" s="15"/>
      <c r="N314" s="16"/>
      <c r="O314" s="15"/>
      <c r="P314" s="16"/>
      <c r="Q314" s="15"/>
      <c r="R314" s="14"/>
    </row>
    <row r="315" customFormat="false" ht="15" hidden="false" customHeight="false" outlineLevel="0" collapsed="false">
      <c r="A315" s="9" t="s">
        <v>774</v>
      </c>
      <c r="B315" s="9" t="n">
        <v>97</v>
      </c>
      <c r="C315" s="10" t="s">
        <v>867</v>
      </c>
      <c r="D315" s="10" t="s">
        <v>868</v>
      </c>
      <c r="E315" s="9" t="s">
        <v>59</v>
      </c>
      <c r="F315" s="9" t="s">
        <v>51</v>
      </c>
      <c r="G315" s="11" t="n">
        <v>46327</v>
      </c>
      <c r="H315" s="11" t="n">
        <v>46327</v>
      </c>
      <c r="I315" s="12" t="n">
        <f aca="true">IF(H315="","",H315-TODAY())</f>
        <v>20</v>
      </c>
      <c r="J315" s="10"/>
      <c r="K315" s="13" t="s">
        <v>53</v>
      </c>
      <c r="L315" s="14"/>
      <c r="M315" s="15"/>
      <c r="N315" s="16"/>
      <c r="O315" s="15"/>
      <c r="P315" s="16"/>
      <c r="Q315" s="15"/>
      <c r="R315" s="14"/>
    </row>
    <row r="316" customFormat="false" ht="23.85" hidden="false" customHeight="false" outlineLevel="0" collapsed="false">
      <c r="A316" s="9" t="s">
        <v>774</v>
      </c>
      <c r="B316" s="9" t="n">
        <v>348</v>
      </c>
      <c r="C316" s="10" t="s">
        <v>869</v>
      </c>
      <c r="D316" s="10" t="s">
        <v>870</v>
      </c>
      <c r="E316" s="9" t="s">
        <v>50</v>
      </c>
      <c r="F316" s="9" t="s">
        <v>683</v>
      </c>
      <c r="G316" s="11" t="n">
        <v>46327</v>
      </c>
      <c r="H316" s="11" t="n">
        <v>46327</v>
      </c>
      <c r="I316" s="12" t="n">
        <f aca="true">IF(H316="","",H316-TODAY())</f>
        <v>20</v>
      </c>
      <c r="J316" s="10" t="s">
        <v>871</v>
      </c>
      <c r="K316" s="13" t="s">
        <v>53</v>
      </c>
      <c r="L316" s="14"/>
      <c r="M316" s="15"/>
      <c r="N316" s="16"/>
      <c r="O316" s="15"/>
      <c r="P316" s="16"/>
      <c r="Q316" s="15"/>
      <c r="R316" s="14"/>
    </row>
    <row r="317" customFormat="false" ht="57.45" hidden="false" customHeight="false" outlineLevel="0" collapsed="false">
      <c r="A317" s="9" t="s">
        <v>774</v>
      </c>
      <c r="B317" s="9" t="n">
        <v>849</v>
      </c>
      <c r="C317" s="10" t="s">
        <v>872</v>
      </c>
      <c r="D317" s="10" t="s">
        <v>873</v>
      </c>
      <c r="E317" s="9" t="s">
        <v>59</v>
      </c>
      <c r="F317" s="9" t="s">
        <v>63</v>
      </c>
      <c r="G317" s="11" t="n">
        <v>46327</v>
      </c>
      <c r="H317" s="11" t="n">
        <v>46327</v>
      </c>
      <c r="I317" s="12" t="n">
        <f aca="true">IF(H317="","",H317-TODAY())</f>
        <v>20</v>
      </c>
      <c r="J317" s="10" t="s">
        <v>874</v>
      </c>
      <c r="K317" s="13" t="s">
        <v>53</v>
      </c>
      <c r="L317" s="14"/>
      <c r="M317" s="15"/>
      <c r="N317" s="16"/>
      <c r="O317" s="15"/>
      <c r="P317" s="16"/>
      <c r="Q317" s="15"/>
      <c r="R317" s="14"/>
    </row>
    <row r="318" customFormat="false" ht="46.25" hidden="false" customHeight="false" outlineLevel="0" collapsed="false">
      <c r="A318" s="9" t="s">
        <v>774</v>
      </c>
      <c r="B318" s="9" t="n">
        <v>680</v>
      </c>
      <c r="C318" s="10" t="s">
        <v>875</v>
      </c>
      <c r="D318" s="10" t="s">
        <v>876</v>
      </c>
      <c r="E318" s="9" t="s">
        <v>59</v>
      </c>
      <c r="F318" s="9" t="s">
        <v>51</v>
      </c>
      <c r="G318" s="11" t="n">
        <v>46327</v>
      </c>
      <c r="H318" s="11" t="n">
        <v>46327</v>
      </c>
      <c r="I318" s="12" t="n">
        <f aca="true">IF(H318="","",H318-TODAY())</f>
        <v>20</v>
      </c>
      <c r="J318" s="10" t="s">
        <v>877</v>
      </c>
      <c r="K318" s="13" t="s">
        <v>53</v>
      </c>
      <c r="L318" s="14"/>
      <c r="M318" s="15"/>
      <c r="N318" s="16"/>
      <c r="O318" s="15"/>
      <c r="P318" s="16"/>
      <c r="Q318" s="15"/>
      <c r="R318" s="14"/>
    </row>
    <row r="319" customFormat="false" ht="23.85" hidden="false" customHeight="false" outlineLevel="0" collapsed="false">
      <c r="A319" s="9" t="s">
        <v>774</v>
      </c>
      <c r="B319" s="9" t="n">
        <v>87</v>
      </c>
      <c r="C319" s="10" t="s">
        <v>878</v>
      </c>
      <c r="D319" s="10" t="s">
        <v>839</v>
      </c>
      <c r="E319" s="9" t="s">
        <v>59</v>
      </c>
      <c r="F319" s="9" t="s">
        <v>51</v>
      </c>
      <c r="G319" s="11" t="n">
        <v>46327</v>
      </c>
      <c r="H319" s="11" t="n">
        <v>46327</v>
      </c>
      <c r="I319" s="12" t="n">
        <f aca="true">IF(H319="","",H319-TODAY())</f>
        <v>20</v>
      </c>
      <c r="J319" s="10" t="s">
        <v>879</v>
      </c>
      <c r="K319" s="13" t="s">
        <v>53</v>
      </c>
      <c r="L319" s="14"/>
      <c r="M319" s="15"/>
      <c r="N319" s="16"/>
      <c r="O319" s="15"/>
      <c r="P319" s="16"/>
      <c r="Q319" s="15"/>
      <c r="R319" s="14"/>
    </row>
    <row r="320" customFormat="false" ht="35.05" hidden="false" customHeight="false" outlineLevel="0" collapsed="false">
      <c r="A320" s="9" t="s">
        <v>774</v>
      </c>
      <c r="B320" s="9" t="n">
        <v>117</v>
      </c>
      <c r="C320" s="10" t="s">
        <v>880</v>
      </c>
      <c r="D320" s="10" t="s">
        <v>881</v>
      </c>
      <c r="E320" s="9" t="s">
        <v>59</v>
      </c>
      <c r="F320" s="9" t="s">
        <v>51</v>
      </c>
      <c r="G320" s="11" t="n">
        <v>46327</v>
      </c>
      <c r="H320" s="11" t="n">
        <v>46327</v>
      </c>
      <c r="I320" s="12" t="n">
        <f aca="true">IF(H320="","",H320-TODAY())</f>
        <v>20</v>
      </c>
      <c r="J320" s="10" t="s">
        <v>882</v>
      </c>
      <c r="K320" s="13" t="s">
        <v>53</v>
      </c>
      <c r="L320" s="14"/>
      <c r="M320" s="15"/>
      <c r="N320" s="16"/>
      <c r="O320" s="15"/>
      <c r="P320" s="16"/>
      <c r="Q320" s="15"/>
      <c r="R320" s="14"/>
    </row>
    <row r="321" customFormat="false" ht="35.05" hidden="false" customHeight="false" outlineLevel="0" collapsed="false">
      <c r="A321" s="9" t="s">
        <v>774</v>
      </c>
      <c r="B321" s="9" t="n">
        <v>194</v>
      </c>
      <c r="C321" s="10" t="s">
        <v>883</v>
      </c>
      <c r="D321" s="10" t="s">
        <v>884</v>
      </c>
      <c r="E321" s="9" t="s">
        <v>59</v>
      </c>
      <c r="F321" s="9" t="s">
        <v>51</v>
      </c>
      <c r="G321" s="11" t="n">
        <v>46327</v>
      </c>
      <c r="H321" s="11" t="n">
        <v>46327</v>
      </c>
      <c r="I321" s="12" t="n">
        <f aca="true">IF(H321="","",H321-TODAY())</f>
        <v>20</v>
      </c>
      <c r="J321" s="10" t="s">
        <v>885</v>
      </c>
      <c r="K321" s="13" t="s">
        <v>53</v>
      </c>
      <c r="L321" s="14"/>
      <c r="M321" s="15"/>
      <c r="N321" s="16"/>
      <c r="O321" s="15"/>
      <c r="P321" s="16"/>
      <c r="Q321" s="15"/>
      <c r="R321" s="14"/>
    </row>
    <row r="322" customFormat="false" ht="23.85" hidden="false" customHeight="false" outlineLevel="0" collapsed="false">
      <c r="A322" s="9" t="s">
        <v>774</v>
      </c>
      <c r="B322" s="9" t="n">
        <v>110</v>
      </c>
      <c r="C322" s="10" t="s">
        <v>886</v>
      </c>
      <c r="D322" s="10" t="s">
        <v>887</v>
      </c>
      <c r="E322" s="9" t="s">
        <v>50</v>
      </c>
      <c r="F322" s="9" t="s">
        <v>51</v>
      </c>
      <c r="G322" s="11" t="n">
        <v>46327</v>
      </c>
      <c r="H322" s="11" t="n">
        <v>46327</v>
      </c>
      <c r="I322" s="12" t="n">
        <f aca="true">IF(H322="","",H322-TODAY())</f>
        <v>20</v>
      </c>
      <c r="J322" s="10" t="s">
        <v>235</v>
      </c>
      <c r="K322" s="13" t="s">
        <v>53</v>
      </c>
      <c r="L322" s="14"/>
      <c r="M322" s="15"/>
      <c r="N322" s="16"/>
      <c r="O322" s="15"/>
      <c r="P322" s="16"/>
      <c r="Q322" s="15"/>
      <c r="R322" s="14"/>
    </row>
    <row r="323" customFormat="false" ht="23.85" hidden="false" customHeight="false" outlineLevel="0" collapsed="false">
      <c r="A323" s="9" t="s">
        <v>774</v>
      </c>
      <c r="B323" s="9" t="n">
        <v>125</v>
      </c>
      <c r="C323" s="10" t="s">
        <v>888</v>
      </c>
      <c r="D323" s="10" t="s">
        <v>889</v>
      </c>
      <c r="E323" s="9" t="s">
        <v>50</v>
      </c>
      <c r="F323" s="9" t="s">
        <v>51</v>
      </c>
      <c r="G323" s="11" t="n">
        <v>46328</v>
      </c>
      <c r="H323" s="11" t="n">
        <v>46328</v>
      </c>
      <c r="I323" s="12" t="n">
        <f aca="true">IF(H323="","",H323-TODAY())</f>
        <v>21</v>
      </c>
      <c r="J323" s="10"/>
      <c r="K323" s="13" t="s">
        <v>53</v>
      </c>
      <c r="L323" s="14"/>
      <c r="M323" s="15"/>
      <c r="N323" s="16"/>
      <c r="O323" s="15"/>
      <c r="P323" s="16"/>
      <c r="Q323" s="15"/>
      <c r="R323" s="14"/>
    </row>
    <row r="324" customFormat="false" ht="23.85" hidden="false" customHeight="false" outlineLevel="0" collapsed="false">
      <c r="A324" s="9" t="s">
        <v>774</v>
      </c>
      <c r="B324" s="9" t="n">
        <v>187</v>
      </c>
      <c r="C324" s="10" t="s">
        <v>890</v>
      </c>
      <c r="D324" s="10" t="s">
        <v>891</v>
      </c>
      <c r="E324" s="9" t="s">
        <v>50</v>
      </c>
      <c r="F324" s="9" t="s">
        <v>51</v>
      </c>
      <c r="G324" s="11" t="n">
        <v>46329</v>
      </c>
      <c r="H324" s="11" t="n">
        <v>46329</v>
      </c>
      <c r="I324" s="12" t="n">
        <f aca="true">IF(H324="","",H324-TODAY())</f>
        <v>22</v>
      </c>
      <c r="J324" s="10" t="s">
        <v>892</v>
      </c>
      <c r="K324" s="13" t="s">
        <v>53</v>
      </c>
      <c r="L324" s="14"/>
      <c r="M324" s="15"/>
      <c r="N324" s="16"/>
      <c r="O324" s="15"/>
      <c r="P324" s="16"/>
      <c r="Q324" s="15"/>
      <c r="R324" s="14"/>
    </row>
    <row r="325" customFormat="false" ht="35.05" hidden="false" customHeight="false" outlineLevel="0" collapsed="false">
      <c r="A325" s="9" t="s">
        <v>774</v>
      </c>
      <c r="B325" s="9" t="n">
        <v>660</v>
      </c>
      <c r="C325" s="10" t="s">
        <v>893</v>
      </c>
      <c r="D325" s="10" t="s">
        <v>894</v>
      </c>
      <c r="E325" s="9" t="s">
        <v>59</v>
      </c>
      <c r="F325" s="9" t="s">
        <v>365</v>
      </c>
      <c r="G325" s="11" t="n">
        <v>46330</v>
      </c>
      <c r="H325" s="11" t="n">
        <v>46330</v>
      </c>
      <c r="I325" s="12" t="n">
        <f aca="true">IF(H325="","",H325-TODAY())</f>
        <v>23</v>
      </c>
      <c r="J325" s="10" t="s">
        <v>895</v>
      </c>
      <c r="K325" s="13" t="s">
        <v>53</v>
      </c>
      <c r="L325" s="14"/>
      <c r="M325" s="15"/>
      <c r="N325" s="16"/>
      <c r="O325" s="15"/>
      <c r="P325" s="16"/>
      <c r="Q325" s="15"/>
      <c r="R325" s="14"/>
    </row>
    <row r="326" customFormat="false" ht="15" hidden="false" customHeight="false" outlineLevel="0" collapsed="false">
      <c r="A326" s="9" t="s">
        <v>774</v>
      </c>
      <c r="B326" s="9" t="n">
        <v>742</v>
      </c>
      <c r="C326" s="10" t="s">
        <v>896</v>
      </c>
      <c r="D326" s="10" t="s">
        <v>827</v>
      </c>
      <c r="E326" s="9" t="s">
        <v>59</v>
      </c>
      <c r="F326" s="9" t="s">
        <v>365</v>
      </c>
      <c r="G326" s="11" t="n">
        <v>46331</v>
      </c>
      <c r="H326" s="11" t="n">
        <v>46331</v>
      </c>
      <c r="I326" s="12" t="n">
        <f aca="true">IF(H326="","",H326-TODAY())</f>
        <v>24</v>
      </c>
      <c r="J326" s="10" t="s">
        <v>897</v>
      </c>
      <c r="K326" s="13" t="s">
        <v>53</v>
      </c>
      <c r="L326" s="14"/>
      <c r="M326" s="15"/>
      <c r="N326" s="16"/>
      <c r="O326" s="15"/>
      <c r="P326" s="16"/>
      <c r="Q326" s="15"/>
      <c r="R326" s="14"/>
    </row>
    <row r="327" customFormat="false" ht="23.85" hidden="false" customHeight="false" outlineLevel="0" collapsed="false">
      <c r="A327" s="9" t="s">
        <v>774</v>
      </c>
      <c r="B327" s="9" t="n">
        <v>642</v>
      </c>
      <c r="C327" s="10" t="s">
        <v>898</v>
      </c>
      <c r="D327" s="10" t="s">
        <v>899</v>
      </c>
      <c r="E327" s="9" t="s">
        <v>50</v>
      </c>
      <c r="F327" s="9" t="s">
        <v>63</v>
      </c>
      <c r="G327" s="11" t="n">
        <v>46331</v>
      </c>
      <c r="H327" s="11" t="n">
        <v>46331</v>
      </c>
      <c r="I327" s="12" t="n">
        <f aca="true">IF(H327="","",H327-TODAY())</f>
        <v>24</v>
      </c>
      <c r="J327" s="10" t="s">
        <v>900</v>
      </c>
      <c r="K327" s="13" t="s">
        <v>53</v>
      </c>
      <c r="L327" s="14"/>
      <c r="M327" s="15"/>
      <c r="N327" s="16"/>
      <c r="O327" s="15"/>
      <c r="P327" s="16"/>
      <c r="Q327" s="15"/>
      <c r="R327" s="14"/>
    </row>
    <row r="328" customFormat="false" ht="23.85" hidden="false" customHeight="false" outlineLevel="0" collapsed="false">
      <c r="A328" s="9" t="s">
        <v>774</v>
      </c>
      <c r="B328" s="9" t="n">
        <v>795</v>
      </c>
      <c r="C328" s="10" t="s">
        <v>901</v>
      </c>
      <c r="D328" s="10" t="s">
        <v>219</v>
      </c>
      <c r="E328" s="9" t="s">
        <v>59</v>
      </c>
      <c r="F328" s="9" t="s">
        <v>98</v>
      </c>
      <c r="G328" s="11" t="n">
        <v>46332</v>
      </c>
      <c r="H328" s="11" t="n">
        <v>46332</v>
      </c>
      <c r="I328" s="12" t="n">
        <f aca="true">IF(H328="","",H328-TODAY())</f>
        <v>25</v>
      </c>
      <c r="J328" s="10" t="s">
        <v>902</v>
      </c>
      <c r="K328" s="13" t="s">
        <v>53</v>
      </c>
      <c r="L328" s="14"/>
      <c r="M328" s="15"/>
      <c r="N328" s="16"/>
      <c r="O328" s="15"/>
      <c r="P328" s="16"/>
      <c r="Q328" s="15"/>
      <c r="R328" s="14"/>
    </row>
    <row r="329" customFormat="false" ht="23.85" hidden="false" customHeight="false" outlineLevel="0" collapsed="false">
      <c r="A329" s="9" t="s">
        <v>774</v>
      </c>
      <c r="B329" s="9" t="n">
        <v>123</v>
      </c>
      <c r="C329" s="10" t="s">
        <v>903</v>
      </c>
      <c r="D329" s="10" t="s">
        <v>904</v>
      </c>
      <c r="E329" s="9" t="s">
        <v>59</v>
      </c>
      <c r="F329" s="9" t="s">
        <v>51</v>
      </c>
      <c r="G329" s="11" t="n">
        <v>46332</v>
      </c>
      <c r="H329" s="11" t="n">
        <v>46332</v>
      </c>
      <c r="I329" s="12" t="n">
        <f aca="true">IF(H329="","",H329-TODAY())</f>
        <v>25</v>
      </c>
      <c r="J329" s="10" t="s">
        <v>905</v>
      </c>
      <c r="K329" s="13" t="s">
        <v>53</v>
      </c>
      <c r="L329" s="14"/>
      <c r="M329" s="15"/>
      <c r="N329" s="16"/>
      <c r="O329" s="15"/>
      <c r="P329" s="16"/>
      <c r="Q329" s="15"/>
      <c r="R329" s="14"/>
    </row>
    <row r="330" customFormat="false" ht="35.05" hidden="false" customHeight="false" outlineLevel="0" collapsed="false">
      <c r="A330" s="9" t="s">
        <v>774</v>
      </c>
      <c r="B330" s="9" t="n">
        <v>287</v>
      </c>
      <c r="C330" s="10" t="s">
        <v>906</v>
      </c>
      <c r="D330" s="10" t="s">
        <v>907</v>
      </c>
      <c r="E330" s="9" t="s">
        <v>59</v>
      </c>
      <c r="F330" s="9" t="s">
        <v>63</v>
      </c>
      <c r="G330" s="11" t="n">
        <v>46336</v>
      </c>
      <c r="H330" s="11" t="n">
        <v>46336</v>
      </c>
      <c r="I330" s="12" t="n">
        <f aca="true">IF(H330="","",H330-TODAY())</f>
        <v>29</v>
      </c>
      <c r="J330" s="10" t="s">
        <v>908</v>
      </c>
      <c r="K330" s="13" t="s">
        <v>53</v>
      </c>
      <c r="L330" s="14"/>
      <c r="M330" s="15"/>
      <c r="N330" s="16"/>
      <c r="O330" s="15"/>
      <c r="P330" s="16"/>
      <c r="Q330" s="15"/>
      <c r="R330" s="14"/>
    </row>
    <row r="331" customFormat="false" ht="15" hidden="false" customHeight="false" outlineLevel="0" collapsed="false">
      <c r="A331" s="9" t="s">
        <v>774</v>
      </c>
      <c r="B331" s="9" t="n">
        <v>472</v>
      </c>
      <c r="C331" s="10" t="s">
        <v>909</v>
      </c>
      <c r="D331" s="10" t="s">
        <v>910</v>
      </c>
      <c r="E331" s="9" t="s">
        <v>50</v>
      </c>
      <c r="F331" s="9" t="s">
        <v>51</v>
      </c>
      <c r="G331" s="11" t="n">
        <v>46336</v>
      </c>
      <c r="H331" s="11" t="n">
        <v>46336</v>
      </c>
      <c r="I331" s="12" t="n">
        <f aca="true">IF(H331="","",H331-TODAY())</f>
        <v>29</v>
      </c>
      <c r="J331" s="10" t="s">
        <v>911</v>
      </c>
      <c r="K331" s="13" t="s">
        <v>53</v>
      </c>
      <c r="L331" s="14"/>
      <c r="M331" s="15"/>
      <c r="N331" s="16"/>
      <c r="O331" s="15"/>
      <c r="P331" s="16"/>
      <c r="Q331" s="15"/>
      <c r="R331" s="14"/>
    </row>
    <row r="332" customFormat="false" ht="23.85" hidden="false" customHeight="false" outlineLevel="0" collapsed="false">
      <c r="A332" s="9" t="s">
        <v>774</v>
      </c>
      <c r="B332" s="9" t="n">
        <v>286</v>
      </c>
      <c r="C332" s="10" t="s">
        <v>912</v>
      </c>
      <c r="D332" s="10" t="s">
        <v>913</v>
      </c>
      <c r="E332" s="9" t="s">
        <v>59</v>
      </c>
      <c r="F332" s="9" t="s">
        <v>63</v>
      </c>
      <c r="G332" s="11" t="n">
        <v>46336</v>
      </c>
      <c r="H332" s="11" t="n">
        <v>46336</v>
      </c>
      <c r="I332" s="12" t="n">
        <f aca="true">IF(H332="","",H332-TODAY())</f>
        <v>29</v>
      </c>
      <c r="J332" s="10"/>
      <c r="K332" s="13" t="s">
        <v>53</v>
      </c>
      <c r="L332" s="14"/>
      <c r="M332" s="15"/>
      <c r="N332" s="16"/>
      <c r="O332" s="15"/>
      <c r="P332" s="16"/>
      <c r="Q332" s="15"/>
      <c r="R332" s="14"/>
    </row>
    <row r="333" customFormat="false" ht="35.05" hidden="false" customHeight="false" outlineLevel="0" collapsed="false">
      <c r="A333" s="9" t="s">
        <v>774</v>
      </c>
      <c r="B333" s="9" t="n">
        <v>288</v>
      </c>
      <c r="C333" s="10" t="s">
        <v>914</v>
      </c>
      <c r="D333" s="10" t="s">
        <v>907</v>
      </c>
      <c r="E333" s="9" t="s">
        <v>59</v>
      </c>
      <c r="F333" s="9" t="s">
        <v>63</v>
      </c>
      <c r="G333" s="11" t="n">
        <v>46336</v>
      </c>
      <c r="H333" s="11" t="n">
        <v>46336</v>
      </c>
      <c r="I333" s="12" t="n">
        <f aca="true">IF(H333="","",H333-TODAY())</f>
        <v>29</v>
      </c>
      <c r="J333" s="10" t="s">
        <v>908</v>
      </c>
      <c r="K333" s="13" t="s">
        <v>53</v>
      </c>
      <c r="L333" s="14"/>
      <c r="M333" s="15"/>
      <c r="N333" s="16"/>
      <c r="O333" s="15"/>
      <c r="P333" s="16"/>
      <c r="Q333" s="15"/>
      <c r="R333" s="14"/>
    </row>
    <row r="334" customFormat="false" ht="23.85" hidden="false" customHeight="false" outlineLevel="0" collapsed="false">
      <c r="A334" s="9" t="s">
        <v>774</v>
      </c>
      <c r="B334" s="9" t="n">
        <v>703</v>
      </c>
      <c r="C334" s="10" t="s">
        <v>915</v>
      </c>
      <c r="D334" s="10" t="s">
        <v>916</v>
      </c>
      <c r="E334" s="9" t="s">
        <v>50</v>
      </c>
      <c r="F334" s="9" t="s">
        <v>51</v>
      </c>
      <c r="G334" s="11" t="n">
        <v>46337</v>
      </c>
      <c r="H334" s="11" t="n">
        <v>46337</v>
      </c>
      <c r="I334" s="12" t="n">
        <f aca="true">IF(H334="","",H334-TODAY())</f>
        <v>30</v>
      </c>
      <c r="J334" s="10" t="s">
        <v>917</v>
      </c>
      <c r="K334" s="13" t="s">
        <v>53</v>
      </c>
      <c r="L334" s="14"/>
      <c r="M334" s="15"/>
      <c r="N334" s="16"/>
      <c r="O334" s="15"/>
      <c r="P334" s="16"/>
      <c r="Q334" s="15"/>
      <c r="R334" s="14"/>
    </row>
    <row r="335" customFormat="false" ht="23.85" hidden="false" customHeight="false" outlineLevel="0" collapsed="false">
      <c r="A335" s="9" t="s">
        <v>774</v>
      </c>
      <c r="B335" s="9" t="n">
        <v>157</v>
      </c>
      <c r="C335" s="10" t="s">
        <v>918</v>
      </c>
      <c r="D335" s="10" t="s">
        <v>919</v>
      </c>
      <c r="E335" s="9" t="s">
        <v>59</v>
      </c>
      <c r="F335" s="9" t="s">
        <v>51</v>
      </c>
      <c r="G335" s="11" t="n">
        <v>46339</v>
      </c>
      <c r="H335" s="11" t="n">
        <v>46339</v>
      </c>
      <c r="I335" s="12" t="n">
        <f aca="true">IF(H335="","",H335-TODAY())</f>
        <v>32</v>
      </c>
      <c r="J335" s="10" t="s">
        <v>920</v>
      </c>
      <c r="K335" s="13" t="s">
        <v>53</v>
      </c>
      <c r="L335" s="14"/>
      <c r="M335" s="15"/>
      <c r="N335" s="16"/>
      <c r="O335" s="15"/>
      <c r="P335" s="16"/>
      <c r="Q335" s="15"/>
      <c r="R335" s="14"/>
    </row>
    <row r="336" customFormat="false" ht="15" hidden="false" customHeight="false" outlineLevel="0" collapsed="false">
      <c r="A336" s="9" t="s">
        <v>774</v>
      </c>
      <c r="B336" s="9" t="n">
        <v>1062</v>
      </c>
      <c r="C336" s="10" t="s">
        <v>921</v>
      </c>
      <c r="D336" s="10" t="s">
        <v>922</v>
      </c>
      <c r="E336" s="9" t="s">
        <v>50</v>
      </c>
      <c r="F336" s="9" t="s">
        <v>51</v>
      </c>
      <c r="G336" s="11" t="n">
        <v>46341</v>
      </c>
      <c r="H336" s="11" t="n">
        <v>46341</v>
      </c>
      <c r="I336" s="12" t="n">
        <f aca="true">IF(H336="","",H336-TODAY())</f>
        <v>34</v>
      </c>
      <c r="J336" s="10" t="s">
        <v>202</v>
      </c>
      <c r="K336" s="13" t="s">
        <v>53</v>
      </c>
      <c r="L336" s="14"/>
      <c r="M336" s="15"/>
      <c r="N336" s="16"/>
      <c r="O336" s="15"/>
      <c r="P336" s="16"/>
      <c r="Q336" s="15"/>
      <c r="R336" s="14"/>
    </row>
    <row r="337" customFormat="false" ht="15" hidden="false" customHeight="false" outlineLevel="0" collapsed="false">
      <c r="A337" s="9" t="s">
        <v>774</v>
      </c>
      <c r="B337" s="9" t="n">
        <v>315</v>
      </c>
      <c r="C337" s="10" t="s">
        <v>923</v>
      </c>
      <c r="D337" s="10" t="s">
        <v>924</v>
      </c>
      <c r="E337" s="9" t="s">
        <v>50</v>
      </c>
      <c r="F337" s="9" t="s">
        <v>51</v>
      </c>
      <c r="G337" s="11" t="n">
        <v>46341</v>
      </c>
      <c r="H337" s="11" t="n">
        <v>46341</v>
      </c>
      <c r="I337" s="12" t="n">
        <f aca="true">IF(H337="","",H337-TODAY())</f>
        <v>34</v>
      </c>
      <c r="J337" s="10"/>
      <c r="K337" s="13" t="s">
        <v>53</v>
      </c>
      <c r="L337" s="14"/>
      <c r="M337" s="15"/>
      <c r="N337" s="16"/>
      <c r="O337" s="15"/>
      <c r="P337" s="16"/>
      <c r="Q337" s="15"/>
      <c r="R337" s="14"/>
    </row>
    <row r="338" customFormat="false" ht="23.85" hidden="false" customHeight="false" outlineLevel="0" collapsed="false">
      <c r="A338" s="9" t="s">
        <v>774</v>
      </c>
      <c r="B338" s="9" t="n">
        <v>182</v>
      </c>
      <c r="C338" s="10" t="s">
        <v>925</v>
      </c>
      <c r="D338" s="10" t="s">
        <v>926</v>
      </c>
      <c r="E338" s="9" t="s">
        <v>50</v>
      </c>
      <c r="F338" s="9" t="s">
        <v>51</v>
      </c>
      <c r="G338" s="11" t="n">
        <v>46341</v>
      </c>
      <c r="H338" s="11" t="n">
        <v>46341</v>
      </c>
      <c r="I338" s="12" t="n">
        <f aca="true">IF(H338="","",H338-TODAY())</f>
        <v>34</v>
      </c>
      <c r="J338" s="10" t="s">
        <v>927</v>
      </c>
      <c r="K338" s="13" t="s">
        <v>53</v>
      </c>
      <c r="L338" s="14"/>
      <c r="M338" s="15"/>
      <c r="N338" s="16"/>
      <c r="O338" s="15"/>
      <c r="P338" s="16"/>
      <c r="Q338" s="15"/>
      <c r="R338" s="14"/>
    </row>
    <row r="339" customFormat="false" ht="23.85" hidden="false" customHeight="false" outlineLevel="0" collapsed="false">
      <c r="A339" s="9" t="s">
        <v>774</v>
      </c>
      <c r="B339" s="9" t="n">
        <v>54</v>
      </c>
      <c r="C339" s="10" t="s">
        <v>928</v>
      </c>
      <c r="D339" s="10" t="s">
        <v>929</v>
      </c>
      <c r="E339" s="9" t="s">
        <v>50</v>
      </c>
      <c r="F339" s="9" t="s">
        <v>63</v>
      </c>
      <c r="G339" s="11" t="n">
        <v>46341</v>
      </c>
      <c r="H339" s="11" t="n">
        <v>46341</v>
      </c>
      <c r="I339" s="12" t="n">
        <f aca="true">IF(H339="","",H339-TODAY())</f>
        <v>34</v>
      </c>
      <c r="J339" s="10" t="s">
        <v>930</v>
      </c>
      <c r="K339" s="13" t="s">
        <v>53</v>
      </c>
      <c r="L339" s="14"/>
      <c r="M339" s="15"/>
      <c r="N339" s="16"/>
      <c r="O339" s="15"/>
      <c r="P339" s="16"/>
      <c r="Q339" s="15"/>
      <c r="R339" s="14"/>
    </row>
    <row r="340" customFormat="false" ht="46.25" hidden="false" customHeight="false" outlineLevel="0" collapsed="false">
      <c r="A340" s="9" t="s">
        <v>774</v>
      </c>
      <c r="B340" s="9" t="n">
        <v>459</v>
      </c>
      <c r="C340" s="10" t="s">
        <v>931</v>
      </c>
      <c r="D340" s="10" t="s">
        <v>932</v>
      </c>
      <c r="E340" s="9" t="s">
        <v>50</v>
      </c>
      <c r="F340" s="9" t="s">
        <v>51</v>
      </c>
      <c r="G340" s="11" t="n">
        <v>46341</v>
      </c>
      <c r="H340" s="11" t="n">
        <v>46341</v>
      </c>
      <c r="I340" s="12" t="n">
        <f aca="true">IF(H340="","",H340-TODAY())</f>
        <v>34</v>
      </c>
      <c r="J340" s="10" t="s">
        <v>933</v>
      </c>
      <c r="K340" s="13" t="s">
        <v>53</v>
      </c>
      <c r="L340" s="14"/>
      <c r="M340" s="15"/>
      <c r="N340" s="16"/>
      <c r="O340" s="15"/>
      <c r="P340" s="16"/>
      <c r="Q340" s="15"/>
      <c r="R340" s="14"/>
    </row>
    <row r="341" customFormat="false" ht="23.85" hidden="false" customHeight="false" outlineLevel="0" collapsed="false">
      <c r="A341" s="9" t="s">
        <v>774</v>
      </c>
      <c r="B341" s="9" t="n">
        <v>673</v>
      </c>
      <c r="C341" s="10" t="s">
        <v>934</v>
      </c>
      <c r="D341" s="10" t="s">
        <v>935</v>
      </c>
      <c r="E341" s="9" t="s">
        <v>50</v>
      </c>
      <c r="F341" s="9" t="s">
        <v>51</v>
      </c>
      <c r="G341" s="11" t="n">
        <v>46341</v>
      </c>
      <c r="H341" s="11" t="n">
        <v>46341</v>
      </c>
      <c r="I341" s="12" t="n">
        <f aca="true">IF(H341="","",H341-TODAY())</f>
        <v>34</v>
      </c>
      <c r="J341" s="10" t="s">
        <v>936</v>
      </c>
      <c r="K341" s="13" t="s">
        <v>53</v>
      </c>
      <c r="L341" s="14"/>
      <c r="M341" s="15"/>
      <c r="N341" s="16"/>
      <c r="O341" s="15"/>
      <c r="P341" s="16"/>
      <c r="Q341" s="15"/>
      <c r="R341" s="14"/>
    </row>
    <row r="342" customFormat="false" ht="23.85" hidden="false" customHeight="false" outlineLevel="0" collapsed="false">
      <c r="A342" s="9" t="s">
        <v>774</v>
      </c>
      <c r="B342" s="9" t="n">
        <v>880</v>
      </c>
      <c r="C342" s="10" t="s">
        <v>937</v>
      </c>
      <c r="D342" s="10" t="s">
        <v>938</v>
      </c>
      <c r="E342" s="9" t="s">
        <v>50</v>
      </c>
      <c r="F342" s="9" t="s">
        <v>51</v>
      </c>
      <c r="G342" s="11" t="n">
        <v>46342</v>
      </c>
      <c r="H342" s="11" t="n">
        <v>46342</v>
      </c>
      <c r="I342" s="12" t="n">
        <f aca="true">IF(H342="","",H342-TODAY())</f>
        <v>35</v>
      </c>
      <c r="J342" s="10"/>
      <c r="K342" s="13" t="s">
        <v>53</v>
      </c>
      <c r="L342" s="14"/>
      <c r="M342" s="15"/>
      <c r="N342" s="16"/>
      <c r="O342" s="15"/>
      <c r="P342" s="16"/>
      <c r="Q342" s="15"/>
      <c r="R342" s="14"/>
    </row>
    <row r="343" customFormat="false" ht="35.05" hidden="false" customHeight="false" outlineLevel="0" collapsed="false">
      <c r="A343" s="9" t="s">
        <v>774</v>
      </c>
      <c r="B343" s="9" t="n">
        <v>487</v>
      </c>
      <c r="C343" s="10" t="s">
        <v>939</v>
      </c>
      <c r="D343" s="10" t="s">
        <v>259</v>
      </c>
      <c r="E343" s="9" t="s">
        <v>59</v>
      </c>
      <c r="F343" s="9" t="s">
        <v>51</v>
      </c>
      <c r="G343" s="11" t="n">
        <v>46343</v>
      </c>
      <c r="H343" s="11" t="n">
        <v>46343</v>
      </c>
      <c r="I343" s="12" t="n">
        <f aca="true">IF(H343="","",H343-TODAY())</f>
        <v>36</v>
      </c>
      <c r="J343" s="10" t="s">
        <v>940</v>
      </c>
      <c r="K343" s="13" t="s">
        <v>53</v>
      </c>
      <c r="L343" s="14"/>
      <c r="M343" s="15"/>
      <c r="N343" s="16"/>
      <c r="O343" s="15"/>
      <c r="P343" s="16"/>
      <c r="Q343" s="15"/>
      <c r="R343" s="14"/>
    </row>
    <row r="344" customFormat="false" ht="35.05" hidden="false" customHeight="false" outlineLevel="0" collapsed="false">
      <c r="A344" s="9" t="s">
        <v>774</v>
      </c>
      <c r="B344" s="9" t="n">
        <v>689</v>
      </c>
      <c r="C344" s="10" t="s">
        <v>941</v>
      </c>
      <c r="D344" s="10" t="s">
        <v>451</v>
      </c>
      <c r="E344" s="9" t="s">
        <v>50</v>
      </c>
      <c r="F344" s="9" t="s">
        <v>51</v>
      </c>
      <c r="G344" s="11" t="n">
        <v>46343</v>
      </c>
      <c r="H344" s="11" t="n">
        <v>46343</v>
      </c>
      <c r="I344" s="12" t="n">
        <f aca="true">IF(H344="","",H344-TODAY())</f>
        <v>36</v>
      </c>
      <c r="J344" s="10" t="s">
        <v>942</v>
      </c>
      <c r="K344" s="13" t="s">
        <v>53</v>
      </c>
      <c r="L344" s="14"/>
      <c r="M344" s="15"/>
      <c r="N344" s="16"/>
      <c r="O344" s="15"/>
      <c r="P344" s="16"/>
      <c r="Q344" s="15"/>
      <c r="R344" s="14"/>
    </row>
    <row r="345" customFormat="false" ht="23.85" hidden="false" customHeight="false" outlineLevel="0" collapsed="false">
      <c r="A345" s="9" t="s">
        <v>774</v>
      </c>
      <c r="B345" s="9" t="n">
        <v>372</v>
      </c>
      <c r="C345" s="10" t="s">
        <v>943</v>
      </c>
      <c r="D345" s="10" t="s">
        <v>944</v>
      </c>
      <c r="E345" s="9" t="s">
        <v>50</v>
      </c>
      <c r="F345" s="9" t="s">
        <v>51</v>
      </c>
      <c r="G345" s="11" t="n">
        <v>46345</v>
      </c>
      <c r="H345" s="11" t="n">
        <v>46345</v>
      </c>
      <c r="I345" s="12" t="n">
        <f aca="true">IF(H345="","",H345-TODAY())</f>
        <v>38</v>
      </c>
      <c r="J345" s="10" t="s">
        <v>945</v>
      </c>
      <c r="K345" s="13" t="s">
        <v>53</v>
      </c>
      <c r="L345" s="14"/>
      <c r="M345" s="15"/>
      <c r="N345" s="16"/>
      <c r="O345" s="15"/>
      <c r="P345" s="16"/>
      <c r="Q345" s="15"/>
      <c r="R345" s="14"/>
    </row>
    <row r="346" customFormat="false" ht="23.85" hidden="false" customHeight="false" outlineLevel="0" collapsed="false">
      <c r="A346" s="9" t="s">
        <v>774</v>
      </c>
      <c r="B346" s="9" t="n">
        <v>514</v>
      </c>
      <c r="C346" s="10" t="s">
        <v>946</v>
      </c>
      <c r="D346" s="10" t="s">
        <v>947</v>
      </c>
      <c r="E346" s="9" t="s">
        <v>50</v>
      </c>
      <c r="F346" s="9" t="s">
        <v>63</v>
      </c>
      <c r="G346" s="11" t="n">
        <v>46346</v>
      </c>
      <c r="H346" s="11" t="n">
        <v>46346</v>
      </c>
      <c r="I346" s="12" t="n">
        <f aca="true">IF(H346="","",H346-TODAY())</f>
        <v>39</v>
      </c>
      <c r="J346" s="10" t="s">
        <v>948</v>
      </c>
      <c r="K346" s="13" t="s">
        <v>53</v>
      </c>
      <c r="L346" s="14"/>
      <c r="M346" s="15"/>
      <c r="N346" s="16"/>
      <c r="O346" s="15"/>
      <c r="P346" s="16"/>
      <c r="Q346" s="15"/>
      <c r="R346" s="14"/>
    </row>
    <row r="347" customFormat="false" ht="23.85" hidden="false" customHeight="false" outlineLevel="0" collapsed="false">
      <c r="A347" s="9" t="s">
        <v>774</v>
      </c>
      <c r="B347" s="9" t="n">
        <v>908</v>
      </c>
      <c r="C347" s="10" t="s">
        <v>949</v>
      </c>
      <c r="D347" s="10" t="s">
        <v>950</v>
      </c>
      <c r="E347" s="9" t="s">
        <v>50</v>
      </c>
      <c r="F347" s="9" t="s">
        <v>51</v>
      </c>
      <c r="G347" s="11" t="n">
        <v>46346</v>
      </c>
      <c r="H347" s="11" t="n">
        <v>46346</v>
      </c>
      <c r="I347" s="12" t="n">
        <f aca="true">IF(H347="","",H347-TODAY())</f>
        <v>39</v>
      </c>
      <c r="J347" s="10"/>
      <c r="K347" s="13" t="s">
        <v>53</v>
      </c>
      <c r="L347" s="14"/>
      <c r="M347" s="15"/>
      <c r="N347" s="16"/>
      <c r="O347" s="15"/>
      <c r="P347" s="16"/>
      <c r="Q347" s="15"/>
      <c r="R347" s="14"/>
    </row>
    <row r="348" customFormat="false" ht="15" hidden="false" customHeight="false" outlineLevel="0" collapsed="false">
      <c r="A348" s="9" t="s">
        <v>774</v>
      </c>
      <c r="B348" s="9" t="n">
        <v>227</v>
      </c>
      <c r="C348" s="10" t="s">
        <v>951</v>
      </c>
      <c r="D348" s="10" t="s">
        <v>952</v>
      </c>
      <c r="E348" s="9" t="s">
        <v>50</v>
      </c>
      <c r="F348" s="9" t="s">
        <v>51</v>
      </c>
      <c r="G348" s="11" t="n">
        <v>46346</v>
      </c>
      <c r="H348" s="11" t="n">
        <v>46346</v>
      </c>
      <c r="I348" s="12" t="n">
        <f aca="true">IF(H348="","",H348-TODAY())</f>
        <v>39</v>
      </c>
      <c r="J348" s="10" t="s">
        <v>953</v>
      </c>
      <c r="K348" s="13" t="s">
        <v>53</v>
      </c>
      <c r="L348" s="14"/>
      <c r="M348" s="15"/>
      <c r="N348" s="16"/>
      <c r="O348" s="15"/>
      <c r="P348" s="16"/>
      <c r="Q348" s="15"/>
      <c r="R348" s="14"/>
    </row>
    <row r="349" customFormat="false" ht="35.05" hidden="false" customHeight="false" outlineLevel="0" collapsed="false">
      <c r="A349" s="9" t="s">
        <v>774</v>
      </c>
      <c r="B349" s="9" t="n">
        <v>493</v>
      </c>
      <c r="C349" s="10" t="s">
        <v>954</v>
      </c>
      <c r="D349" s="10" t="s">
        <v>955</v>
      </c>
      <c r="E349" s="9" t="s">
        <v>50</v>
      </c>
      <c r="F349" s="9" t="s">
        <v>51</v>
      </c>
      <c r="G349" s="11" t="n">
        <v>46356</v>
      </c>
      <c r="H349" s="11" t="n">
        <v>46356</v>
      </c>
      <c r="I349" s="12" t="n">
        <f aca="true">IF(H349="","",H349-TODAY())</f>
        <v>49</v>
      </c>
      <c r="J349" s="10" t="s">
        <v>956</v>
      </c>
      <c r="K349" s="13" t="s">
        <v>53</v>
      </c>
      <c r="L349" s="14"/>
      <c r="M349" s="15"/>
      <c r="N349" s="16"/>
      <c r="O349" s="15"/>
      <c r="P349" s="16"/>
      <c r="Q349" s="15"/>
      <c r="R349" s="14"/>
    </row>
    <row r="350" customFormat="false" ht="23.85" hidden="false" customHeight="false" outlineLevel="0" collapsed="false">
      <c r="A350" s="9" t="s">
        <v>774</v>
      </c>
      <c r="B350" s="9" t="n">
        <v>828</v>
      </c>
      <c r="C350" s="10" t="s">
        <v>957</v>
      </c>
      <c r="D350" s="10" t="s">
        <v>958</v>
      </c>
      <c r="E350" s="9" t="s">
        <v>50</v>
      </c>
      <c r="F350" s="9" t="s">
        <v>51</v>
      </c>
      <c r="G350" s="11" t="n">
        <v>46356</v>
      </c>
      <c r="H350" s="11" t="n">
        <v>46356</v>
      </c>
      <c r="I350" s="12" t="n">
        <f aca="true">IF(H350="","",H350-TODAY())</f>
        <v>49</v>
      </c>
      <c r="J350" s="10" t="s">
        <v>959</v>
      </c>
      <c r="K350" s="13" t="s">
        <v>53</v>
      </c>
      <c r="L350" s="14"/>
      <c r="M350" s="15"/>
      <c r="N350" s="16"/>
      <c r="O350" s="15"/>
      <c r="P350" s="16"/>
      <c r="Q350" s="15"/>
      <c r="R350" s="14"/>
    </row>
    <row r="351" customFormat="false" ht="35.05" hidden="false" customHeight="false" outlineLevel="0" collapsed="false">
      <c r="A351" s="9" t="s">
        <v>774</v>
      </c>
      <c r="B351" s="9" t="n">
        <v>942</v>
      </c>
      <c r="C351" s="10" t="s">
        <v>960</v>
      </c>
      <c r="D351" s="10" t="s">
        <v>961</v>
      </c>
      <c r="E351" s="9" t="s">
        <v>59</v>
      </c>
      <c r="F351" s="9" t="s">
        <v>63</v>
      </c>
      <c r="G351" s="11" t="n">
        <v>46356</v>
      </c>
      <c r="H351" s="11" t="n">
        <v>46356</v>
      </c>
      <c r="I351" s="12" t="n">
        <f aca="true">IF(H351="","",H351-TODAY())</f>
        <v>49</v>
      </c>
      <c r="J351" s="10" t="s">
        <v>962</v>
      </c>
      <c r="K351" s="13" t="s">
        <v>53</v>
      </c>
      <c r="L351" s="14"/>
      <c r="M351" s="15"/>
      <c r="N351" s="16"/>
      <c r="O351" s="15"/>
      <c r="P351" s="16"/>
      <c r="Q351" s="15"/>
      <c r="R351" s="14"/>
    </row>
    <row r="352" customFormat="false" ht="15" hidden="false" customHeight="false" outlineLevel="0" collapsed="false">
      <c r="A352" s="9" t="s">
        <v>774</v>
      </c>
      <c r="B352" s="9" t="n">
        <v>296</v>
      </c>
      <c r="C352" s="10" t="s">
        <v>963</v>
      </c>
      <c r="D352" s="10" t="s">
        <v>964</v>
      </c>
      <c r="E352" s="9" t="s">
        <v>59</v>
      </c>
      <c r="F352" s="9" t="s">
        <v>51</v>
      </c>
      <c r="G352" s="11" t="n">
        <v>46357</v>
      </c>
      <c r="H352" s="11" t="n">
        <v>46357</v>
      </c>
      <c r="I352" s="12" t="n">
        <f aca="true">IF(H352="","",H352-TODAY())</f>
        <v>50</v>
      </c>
      <c r="J352" s="10" t="s">
        <v>965</v>
      </c>
      <c r="K352" s="13" t="s">
        <v>53</v>
      </c>
      <c r="L352" s="14"/>
      <c r="M352" s="15"/>
      <c r="N352" s="16"/>
      <c r="O352" s="15"/>
      <c r="P352" s="16"/>
      <c r="Q352" s="15"/>
      <c r="R352" s="14"/>
    </row>
    <row r="353" customFormat="false" ht="23.85" hidden="false" customHeight="false" outlineLevel="0" collapsed="false">
      <c r="A353" s="9" t="s">
        <v>774</v>
      </c>
      <c r="B353" s="9" t="n">
        <v>82</v>
      </c>
      <c r="C353" s="10" t="s">
        <v>966</v>
      </c>
      <c r="D353" s="10" t="s">
        <v>967</v>
      </c>
      <c r="E353" s="9" t="s">
        <v>59</v>
      </c>
      <c r="F353" s="9" t="s">
        <v>98</v>
      </c>
      <c r="G353" s="11" t="n">
        <v>46357</v>
      </c>
      <c r="H353" s="11" t="n">
        <v>46357</v>
      </c>
      <c r="I353" s="12" t="n">
        <f aca="true">IF(H353="","",H353-TODAY())</f>
        <v>50</v>
      </c>
      <c r="J353" s="10" t="s">
        <v>968</v>
      </c>
      <c r="K353" s="13" t="s">
        <v>53</v>
      </c>
      <c r="L353" s="14"/>
      <c r="M353" s="15"/>
      <c r="N353" s="16"/>
      <c r="O353" s="15"/>
      <c r="P353" s="16"/>
      <c r="Q353" s="15"/>
      <c r="R353" s="14"/>
    </row>
    <row r="354" customFormat="false" ht="23.85" hidden="false" customHeight="false" outlineLevel="0" collapsed="false">
      <c r="A354" s="9" t="s">
        <v>774</v>
      </c>
      <c r="B354" s="9" t="n">
        <v>147</v>
      </c>
      <c r="C354" s="10" t="s">
        <v>969</v>
      </c>
      <c r="D354" s="10" t="s">
        <v>970</v>
      </c>
      <c r="E354" s="9" t="s">
        <v>50</v>
      </c>
      <c r="F354" s="9" t="s">
        <v>63</v>
      </c>
      <c r="G354" s="11" t="n">
        <v>46357</v>
      </c>
      <c r="H354" s="11" t="n">
        <v>46357</v>
      </c>
      <c r="I354" s="12" t="n">
        <f aca="true">IF(H354="","",H354-TODAY())</f>
        <v>50</v>
      </c>
      <c r="J354" s="10"/>
      <c r="K354" s="13" t="s">
        <v>53</v>
      </c>
      <c r="L354" s="14"/>
      <c r="M354" s="15"/>
      <c r="N354" s="16"/>
      <c r="O354" s="15"/>
      <c r="P354" s="16"/>
      <c r="Q354" s="15"/>
      <c r="R354" s="14"/>
    </row>
    <row r="355" customFormat="false" ht="15" hidden="false" customHeight="false" outlineLevel="0" collapsed="false">
      <c r="A355" s="9" t="s">
        <v>774</v>
      </c>
      <c r="B355" s="9" t="n">
        <v>1078</v>
      </c>
      <c r="C355" s="10" t="s">
        <v>971</v>
      </c>
      <c r="D355" s="10" t="s">
        <v>972</v>
      </c>
      <c r="E355" s="9" t="s">
        <v>59</v>
      </c>
      <c r="F355" s="9" t="s">
        <v>51</v>
      </c>
      <c r="G355" s="11" t="n">
        <v>46357</v>
      </c>
      <c r="H355" s="11" t="n">
        <v>46357</v>
      </c>
      <c r="I355" s="12" t="n">
        <f aca="true">IF(H355="","",H355-TODAY())</f>
        <v>50</v>
      </c>
      <c r="J355" s="10"/>
      <c r="K355" s="13" t="s">
        <v>53</v>
      </c>
      <c r="L355" s="14"/>
      <c r="M355" s="15"/>
      <c r="N355" s="16"/>
      <c r="O355" s="15"/>
      <c r="P355" s="16"/>
      <c r="Q355" s="15"/>
      <c r="R355" s="14"/>
    </row>
    <row r="356" customFormat="false" ht="15" hidden="false" customHeight="false" outlineLevel="0" collapsed="false">
      <c r="A356" s="9" t="s">
        <v>774</v>
      </c>
      <c r="B356" s="9" t="n">
        <v>719</v>
      </c>
      <c r="C356" s="10" t="s">
        <v>973</v>
      </c>
      <c r="D356" s="10" t="s">
        <v>974</v>
      </c>
      <c r="E356" s="9" t="s">
        <v>50</v>
      </c>
      <c r="F356" s="9" t="s">
        <v>63</v>
      </c>
      <c r="G356" s="11" t="n">
        <v>46357</v>
      </c>
      <c r="H356" s="11" t="n">
        <v>46357</v>
      </c>
      <c r="I356" s="12" t="n">
        <f aca="true">IF(H356="","",H356-TODAY())</f>
        <v>50</v>
      </c>
      <c r="J356" s="10"/>
      <c r="K356" s="13" t="s">
        <v>53</v>
      </c>
      <c r="L356" s="14"/>
      <c r="M356" s="15"/>
      <c r="N356" s="16"/>
      <c r="O356" s="15"/>
      <c r="P356" s="16"/>
      <c r="Q356" s="15"/>
      <c r="R356" s="14"/>
    </row>
    <row r="357" customFormat="false" ht="35.05" hidden="false" customHeight="false" outlineLevel="0" collapsed="false">
      <c r="A357" s="9" t="s">
        <v>774</v>
      </c>
      <c r="B357" s="9" t="n">
        <v>682</v>
      </c>
      <c r="C357" s="10" t="s">
        <v>975</v>
      </c>
      <c r="D357" s="10" t="s">
        <v>976</v>
      </c>
      <c r="E357" s="9" t="s">
        <v>59</v>
      </c>
      <c r="F357" s="9" t="s">
        <v>98</v>
      </c>
      <c r="G357" s="11" t="n">
        <v>46357</v>
      </c>
      <c r="H357" s="11" t="n">
        <v>46357</v>
      </c>
      <c r="I357" s="12" t="n">
        <f aca="true">IF(H357="","",H357-TODAY())</f>
        <v>50</v>
      </c>
      <c r="J357" s="10" t="s">
        <v>977</v>
      </c>
      <c r="K357" s="13" t="s">
        <v>53</v>
      </c>
      <c r="L357" s="14"/>
      <c r="M357" s="15"/>
      <c r="N357" s="16"/>
      <c r="O357" s="15"/>
      <c r="P357" s="16"/>
      <c r="Q357" s="15"/>
      <c r="R357" s="14"/>
    </row>
    <row r="358" customFormat="false" ht="23.85" hidden="false" customHeight="false" outlineLevel="0" collapsed="false">
      <c r="A358" s="9" t="s">
        <v>774</v>
      </c>
      <c r="B358" s="9" t="n">
        <v>94</v>
      </c>
      <c r="C358" s="10" t="s">
        <v>978</v>
      </c>
      <c r="D358" s="10" t="s">
        <v>979</v>
      </c>
      <c r="E358" s="9" t="s">
        <v>50</v>
      </c>
      <c r="F358" s="9" t="s">
        <v>51</v>
      </c>
      <c r="G358" s="11" t="n">
        <v>46357</v>
      </c>
      <c r="H358" s="11" t="n">
        <v>46357</v>
      </c>
      <c r="I358" s="12" t="n">
        <f aca="true">IF(H358="","",H358-TODAY())</f>
        <v>50</v>
      </c>
      <c r="J358" s="10"/>
      <c r="K358" s="13" t="s">
        <v>53</v>
      </c>
      <c r="L358" s="14"/>
      <c r="M358" s="15"/>
      <c r="N358" s="16"/>
      <c r="O358" s="15"/>
      <c r="P358" s="16"/>
      <c r="Q358" s="15"/>
      <c r="R358" s="14"/>
    </row>
    <row r="359" customFormat="false" ht="23.85" hidden="false" customHeight="false" outlineLevel="0" collapsed="false">
      <c r="A359" s="9" t="s">
        <v>774</v>
      </c>
      <c r="B359" s="9" t="n">
        <v>151</v>
      </c>
      <c r="C359" s="10" t="s">
        <v>980</v>
      </c>
      <c r="D359" s="10" t="s">
        <v>981</v>
      </c>
      <c r="E359" s="9" t="s">
        <v>50</v>
      </c>
      <c r="F359" s="9" t="s">
        <v>63</v>
      </c>
      <c r="G359" s="11" t="n">
        <v>46357</v>
      </c>
      <c r="H359" s="11" t="n">
        <v>46357</v>
      </c>
      <c r="I359" s="12" t="n">
        <f aca="true">IF(H359="","",H359-TODAY())</f>
        <v>50</v>
      </c>
      <c r="J359" s="10"/>
      <c r="K359" s="13" t="s">
        <v>53</v>
      </c>
      <c r="L359" s="14"/>
      <c r="M359" s="15"/>
      <c r="N359" s="16"/>
      <c r="O359" s="15"/>
      <c r="P359" s="16"/>
      <c r="Q359" s="15"/>
      <c r="R359" s="14"/>
    </row>
    <row r="360" customFormat="false" ht="15" hidden="false" customHeight="false" outlineLevel="0" collapsed="false">
      <c r="A360" s="9" t="s">
        <v>774</v>
      </c>
      <c r="B360" s="9" t="n">
        <v>226</v>
      </c>
      <c r="C360" s="10" t="s">
        <v>982</v>
      </c>
      <c r="D360" s="10" t="s">
        <v>952</v>
      </c>
      <c r="E360" s="9" t="s">
        <v>59</v>
      </c>
      <c r="F360" s="9" t="s">
        <v>51</v>
      </c>
      <c r="G360" s="11" t="n">
        <v>46360</v>
      </c>
      <c r="H360" s="11" t="n">
        <v>46360</v>
      </c>
      <c r="I360" s="12" t="n">
        <f aca="true">IF(H360="","",H360-TODAY())</f>
        <v>53</v>
      </c>
      <c r="J360" s="10" t="s">
        <v>711</v>
      </c>
      <c r="K360" s="13" t="s">
        <v>53</v>
      </c>
      <c r="L360" s="14"/>
      <c r="M360" s="15"/>
      <c r="N360" s="16"/>
      <c r="O360" s="15"/>
      <c r="P360" s="16"/>
      <c r="Q360" s="15"/>
      <c r="R360" s="14"/>
    </row>
    <row r="361" customFormat="false" ht="57.45" hidden="false" customHeight="false" outlineLevel="0" collapsed="false">
      <c r="A361" s="9" t="s">
        <v>774</v>
      </c>
      <c r="B361" s="9" t="n">
        <v>630</v>
      </c>
      <c r="C361" s="10" t="s">
        <v>983</v>
      </c>
      <c r="D361" s="10" t="s">
        <v>842</v>
      </c>
      <c r="E361" s="9" t="s">
        <v>50</v>
      </c>
      <c r="F361" s="9" t="s">
        <v>63</v>
      </c>
      <c r="G361" s="11" t="n">
        <v>46360</v>
      </c>
      <c r="H361" s="11" t="n">
        <v>46360</v>
      </c>
      <c r="I361" s="12" t="n">
        <f aca="true">IF(H361="","",H361-TODAY())</f>
        <v>53</v>
      </c>
      <c r="J361" s="10" t="s">
        <v>984</v>
      </c>
      <c r="K361" s="13" t="s">
        <v>53</v>
      </c>
      <c r="L361" s="14"/>
      <c r="M361" s="15"/>
      <c r="N361" s="16"/>
      <c r="O361" s="15"/>
      <c r="P361" s="16"/>
      <c r="Q361" s="15"/>
      <c r="R361" s="14"/>
    </row>
    <row r="362" customFormat="false" ht="35.05" hidden="false" customHeight="false" outlineLevel="0" collapsed="false">
      <c r="A362" s="9" t="s">
        <v>774</v>
      </c>
      <c r="B362" s="9" t="n">
        <v>55</v>
      </c>
      <c r="C362" s="10" t="s">
        <v>985</v>
      </c>
      <c r="D362" s="10" t="s">
        <v>328</v>
      </c>
      <c r="E362" s="9" t="s">
        <v>50</v>
      </c>
      <c r="F362" s="9" t="s">
        <v>51</v>
      </c>
      <c r="G362" s="11" t="n">
        <v>46362</v>
      </c>
      <c r="H362" s="11" t="n">
        <v>46362</v>
      </c>
      <c r="I362" s="12" t="n">
        <f aca="true">IF(H362="","",H362-TODAY())</f>
        <v>55</v>
      </c>
      <c r="J362" s="10" t="s">
        <v>986</v>
      </c>
      <c r="K362" s="13" t="s">
        <v>53</v>
      </c>
      <c r="L362" s="14"/>
      <c r="M362" s="15"/>
      <c r="N362" s="16"/>
      <c r="O362" s="15"/>
      <c r="P362" s="16"/>
      <c r="Q362" s="15"/>
      <c r="R362" s="14"/>
    </row>
    <row r="363" customFormat="false" ht="23.85" hidden="false" customHeight="false" outlineLevel="0" collapsed="false">
      <c r="A363" s="9" t="s">
        <v>774</v>
      </c>
      <c r="B363" s="9" t="n">
        <v>802</v>
      </c>
      <c r="C363" s="10" t="s">
        <v>987</v>
      </c>
      <c r="D363" s="10" t="s">
        <v>988</v>
      </c>
      <c r="E363" s="9" t="s">
        <v>59</v>
      </c>
      <c r="F363" s="9" t="s">
        <v>63</v>
      </c>
      <c r="G363" s="11" t="n">
        <v>46363</v>
      </c>
      <c r="H363" s="11" t="n">
        <v>46363</v>
      </c>
      <c r="I363" s="12" t="n">
        <f aca="true">IF(H363="","",H363-TODAY())</f>
        <v>56</v>
      </c>
      <c r="J363" s="10" t="s">
        <v>989</v>
      </c>
      <c r="K363" s="13" t="s">
        <v>53</v>
      </c>
      <c r="L363" s="14"/>
      <c r="M363" s="15"/>
      <c r="N363" s="16"/>
      <c r="O363" s="15"/>
      <c r="P363" s="16"/>
      <c r="Q363" s="15"/>
      <c r="R363" s="14"/>
    </row>
    <row r="364" customFormat="false" ht="23.85" hidden="false" customHeight="false" outlineLevel="0" collapsed="false">
      <c r="A364" s="9" t="s">
        <v>774</v>
      </c>
      <c r="B364" s="9" t="n">
        <v>1097</v>
      </c>
      <c r="C364" s="10" t="s">
        <v>990</v>
      </c>
      <c r="D364" s="10" t="s">
        <v>259</v>
      </c>
      <c r="E364" s="9" t="s">
        <v>59</v>
      </c>
      <c r="F364" s="9" t="s">
        <v>683</v>
      </c>
      <c r="G364" s="11" t="n">
        <v>46364</v>
      </c>
      <c r="H364" s="11" t="n">
        <v>46364</v>
      </c>
      <c r="I364" s="12" t="n">
        <f aca="true">IF(H364="","",H364-TODAY())</f>
        <v>57</v>
      </c>
      <c r="J364" s="10" t="s">
        <v>991</v>
      </c>
      <c r="K364" s="13" t="s">
        <v>53</v>
      </c>
      <c r="L364" s="14"/>
      <c r="M364" s="15"/>
      <c r="N364" s="16"/>
      <c r="O364" s="15"/>
      <c r="P364" s="16"/>
      <c r="Q364" s="15"/>
      <c r="R364" s="14"/>
    </row>
    <row r="365" customFormat="false" ht="68.65" hidden="false" customHeight="false" outlineLevel="0" collapsed="false">
      <c r="A365" s="9" t="s">
        <v>774</v>
      </c>
      <c r="B365" s="9" t="n">
        <v>124</v>
      </c>
      <c r="C365" s="10" t="s">
        <v>992</v>
      </c>
      <c r="D365" s="10" t="s">
        <v>259</v>
      </c>
      <c r="E365" s="9" t="s">
        <v>59</v>
      </c>
      <c r="F365" s="9" t="s">
        <v>98</v>
      </c>
      <c r="G365" s="11" t="n">
        <v>46364</v>
      </c>
      <c r="H365" s="11" t="n">
        <v>46364</v>
      </c>
      <c r="I365" s="12" t="n">
        <f aca="true">IF(H365="","",H365-TODAY())</f>
        <v>57</v>
      </c>
      <c r="J365" s="10" t="s">
        <v>993</v>
      </c>
      <c r="K365" s="13" t="s">
        <v>53</v>
      </c>
      <c r="L365" s="14"/>
      <c r="M365" s="15"/>
      <c r="N365" s="16"/>
      <c r="O365" s="15"/>
      <c r="P365" s="16"/>
      <c r="Q365" s="15"/>
      <c r="R365" s="14"/>
    </row>
    <row r="366" customFormat="false" ht="23.85" hidden="false" customHeight="false" outlineLevel="0" collapsed="false">
      <c r="A366" s="9" t="s">
        <v>774</v>
      </c>
      <c r="B366" s="9" t="n">
        <v>159</v>
      </c>
      <c r="C366" s="10" t="s">
        <v>994</v>
      </c>
      <c r="D366" s="10" t="s">
        <v>995</v>
      </c>
      <c r="E366" s="9" t="s">
        <v>50</v>
      </c>
      <c r="F366" s="9" t="s">
        <v>51</v>
      </c>
      <c r="G366" s="11" t="n">
        <v>46370</v>
      </c>
      <c r="H366" s="11" t="n">
        <v>46370</v>
      </c>
      <c r="I366" s="12" t="n">
        <f aca="true">IF(H366="","",H366-TODAY())</f>
        <v>63</v>
      </c>
      <c r="J366" s="10"/>
      <c r="K366" s="13" t="s">
        <v>53</v>
      </c>
      <c r="L366" s="14"/>
      <c r="M366" s="15"/>
      <c r="N366" s="16"/>
      <c r="O366" s="15"/>
      <c r="P366" s="16"/>
      <c r="Q366" s="15"/>
      <c r="R366" s="14"/>
    </row>
    <row r="367" customFormat="false" ht="23.85" hidden="false" customHeight="false" outlineLevel="0" collapsed="false">
      <c r="A367" s="9" t="s">
        <v>774</v>
      </c>
      <c r="B367" s="9" t="n">
        <v>466</v>
      </c>
      <c r="C367" s="10" t="s">
        <v>996</v>
      </c>
      <c r="D367" s="10" t="s">
        <v>997</v>
      </c>
      <c r="E367" s="9" t="s">
        <v>59</v>
      </c>
      <c r="F367" s="9" t="s">
        <v>51</v>
      </c>
      <c r="G367" s="11" t="n">
        <v>46370</v>
      </c>
      <c r="H367" s="11" t="n">
        <v>46370</v>
      </c>
      <c r="I367" s="12" t="n">
        <f aca="true">IF(H367="","",H367-TODAY())</f>
        <v>63</v>
      </c>
      <c r="J367" s="10" t="s">
        <v>998</v>
      </c>
      <c r="K367" s="13" t="s">
        <v>53</v>
      </c>
      <c r="L367" s="14"/>
      <c r="M367" s="15"/>
      <c r="N367" s="16"/>
      <c r="O367" s="15"/>
      <c r="P367" s="16"/>
      <c r="Q367" s="15"/>
      <c r="R367" s="14"/>
    </row>
    <row r="368" customFormat="false" ht="35.05" hidden="false" customHeight="false" outlineLevel="0" collapsed="false">
      <c r="A368" s="9" t="s">
        <v>774</v>
      </c>
      <c r="B368" s="9" t="n">
        <v>568</v>
      </c>
      <c r="C368" s="10" t="s">
        <v>999</v>
      </c>
      <c r="D368" s="10" t="s">
        <v>1000</v>
      </c>
      <c r="E368" s="9" t="s">
        <v>59</v>
      </c>
      <c r="F368" s="9" t="s">
        <v>63</v>
      </c>
      <c r="G368" s="11" t="n">
        <v>46374</v>
      </c>
      <c r="H368" s="11" t="n">
        <v>46374</v>
      </c>
      <c r="I368" s="12" t="n">
        <f aca="true">IF(H368="","",H368-TODAY())</f>
        <v>67</v>
      </c>
      <c r="J368" s="10" t="s">
        <v>1001</v>
      </c>
      <c r="K368" s="13" t="s">
        <v>53</v>
      </c>
      <c r="L368" s="14"/>
      <c r="M368" s="15"/>
      <c r="N368" s="16"/>
      <c r="O368" s="15"/>
      <c r="P368" s="16"/>
      <c r="Q368" s="15"/>
      <c r="R368" s="14"/>
    </row>
    <row r="369" customFormat="false" ht="23.85" hidden="false" customHeight="false" outlineLevel="0" collapsed="false">
      <c r="A369" s="9" t="s">
        <v>774</v>
      </c>
      <c r="B369" s="9" t="n">
        <v>404</v>
      </c>
      <c r="C369" s="10" t="s">
        <v>1002</v>
      </c>
      <c r="D369" s="10" t="s">
        <v>1003</v>
      </c>
      <c r="E369" s="9" t="s">
        <v>59</v>
      </c>
      <c r="F369" s="9" t="s">
        <v>51</v>
      </c>
      <c r="G369" s="11" t="n">
        <v>46374</v>
      </c>
      <c r="H369" s="11" t="n">
        <v>46374</v>
      </c>
      <c r="I369" s="12" t="n">
        <f aca="true">IF(H369="","",H369-TODAY())</f>
        <v>67</v>
      </c>
      <c r="J369" s="10" t="s">
        <v>1004</v>
      </c>
      <c r="K369" s="13" t="s">
        <v>53</v>
      </c>
      <c r="L369" s="14"/>
      <c r="M369" s="15"/>
      <c r="N369" s="16"/>
      <c r="O369" s="15"/>
      <c r="P369" s="16"/>
      <c r="Q369" s="15"/>
      <c r="R369" s="14"/>
    </row>
    <row r="370" customFormat="false" ht="23.85" hidden="false" customHeight="false" outlineLevel="0" collapsed="false">
      <c r="A370" s="9" t="s">
        <v>774</v>
      </c>
      <c r="B370" s="9" t="n">
        <v>501</v>
      </c>
      <c r="C370" s="10" t="s">
        <v>1005</v>
      </c>
      <c r="D370" s="10" t="s">
        <v>1006</v>
      </c>
      <c r="E370" s="9" t="s">
        <v>50</v>
      </c>
      <c r="F370" s="9" t="s">
        <v>51</v>
      </c>
      <c r="G370" s="11" t="n">
        <v>46374</v>
      </c>
      <c r="H370" s="11" t="n">
        <v>46374</v>
      </c>
      <c r="I370" s="12" t="n">
        <f aca="true">IF(H370="","",H370-TODAY())</f>
        <v>67</v>
      </c>
      <c r="J370" s="10" t="s">
        <v>1007</v>
      </c>
      <c r="K370" s="13" t="s">
        <v>53</v>
      </c>
      <c r="L370" s="14"/>
      <c r="M370" s="15"/>
      <c r="N370" s="16"/>
      <c r="O370" s="15"/>
      <c r="P370" s="16"/>
      <c r="Q370" s="15"/>
      <c r="R370" s="14"/>
    </row>
    <row r="371" customFormat="false" ht="23.85" hidden="false" customHeight="false" outlineLevel="0" collapsed="false">
      <c r="A371" s="9" t="s">
        <v>774</v>
      </c>
      <c r="B371" s="9" t="n">
        <v>814</v>
      </c>
      <c r="C371" s="10" t="s">
        <v>1008</v>
      </c>
      <c r="D371" s="10" t="s">
        <v>1009</v>
      </c>
      <c r="E371" s="9" t="s">
        <v>59</v>
      </c>
      <c r="F371" s="9" t="s">
        <v>63</v>
      </c>
      <c r="G371" s="11" t="n">
        <v>46376</v>
      </c>
      <c r="H371" s="11" t="n">
        <v>46376</v>
      </c>
      <c r="I371" s="12" t="n">
        <f aca="true">IF(H371="","",H371-TODAY())</f>
        <v>69</v>
      </c>
      <c r="J371" s="10" t="s">
        <v>1010</v>
      </c>
      <c r="K371" s="13" t="s">
        <v>53</v>
      </c>
      <c r="L371" s="14"/>
      <c r="M371" s="15"/>
      <c r="N371" s="16"/>
      <c r="O371" s="15"/>
      <c r="P371" s="16"/>
      <c r="Q371" s="15"/>
      <c r="R371" s="14"/>
    </row>
    <row r="372" customFormat="false" ht="35.05" hidden="false" customHeight="false" outlineLevel="0" collapsed="false">
      <c r="A372" s="9" t="s">
        <v>774</v>
      </c>
      <c r="B372" s="9" t="n">
        <v>208</v>
      </c>
      <c r="C372" s="10" t="s">
        <v>1011</v>
      </c>
      <c r="D372" s="10" t="s">
        <v>1012</v>
      </c>
      <c r="E372" s="9" t="s">
        <v>50</v>
      </c>
      <c r="F372" s="9" t="s">
        <v>63</v>
      </c>
      <c r="G372" s="11" t="n">
        <v>46386</v>
      </c>
      <c r="H372" s="11" t="n">
        <v>46386</v>
      </c>
      <c r="I372" s="12" t="n">
        <f aca="true">IF(H372="","",H372-TODAY())</f>
        <v>79</v>
      </c>
      <c r="J372" s="10" t="s">
        <v>1013</v>
      </c>
      <c r="K372" s="13" t="s">
        <v>53</v>
      </c>
      <c r="L372" s="14"/>
      <c r="M372" s="15"/>
      <c r="N372" s="16"/>
      <c r="O372" s="15"/>
      <c r="P372" s="16"/>
      <c r="Q372" s="15"/>
      <c r="R372" s="14"/>
    </row>
    <row r="373" customFormat="false" ht="35.05" hidden="false" customHeight="false" outlineLevel="0" collapsed="false">
      <c r="A373" s="9" t="s">
        <v>774</v>
      </c>
      <c r="B373" s="9" t="n">
        <v>684</v>
      </c>
      <c r="C373" s="10" t="s">
        <v>1014</v>
      </c>
      <c r="D373" s="10" t="s">
        <v>1015</v>
      </c>
      <c r="E373" s="9" t="s">
        <v>59</v>
      </c>
      <c r="F373" s="9" t="s">
        <v>98</v>
      </c>
      <c r="G373" s="11" t="n">
        <v>46387</v>
      </c>
      <c r="H373" s="11" t="n">
        <v>46387</v>
      </c>
      <c r="I373" s="12" t="n">
        <f aca="true">IF(H373="","",H373-TODAY())</f>
        <v>80</v>
      </c>
      <c r="J373" s="10" t="s">
        <v>1016</v>
      </c>
      <c r="K373" s="13" t="s">
        <v>53</v>
      </c>
      <c r="L373" s="14"/>
      <c r="M373" s="15"/>
      <c r="N373" s="16"/>
      <c r="O373" s="15"/>
      <c r="P373" s="16"/>
      <c r="Q373" s="15"/>
      <c r="R373" s="14"/>
    </row>
    <row r="374" customFormat="false" ht="23.85" hidden="false" customHeight="false" outlineLevel="0" collapsed="false">
      <c r="A374" s="9" t="s">
        <v>774</v>
      </c>
      <c r="B374" s="9" t="n">
        <v>465</v>
      </c>
      <c r="C374" s="10" t="s">
        <v>1017</v>
      </c>
      <c r="D374" s="10" t="s">
        <v>1018</v>
      </c>
      <c r="E374" s="9" t="s">
        <v>59</v>
      </c>
      <c r="F374" s="9" t="s">
        <v>98</v>
      </c>
      <c r="G374" s="11" t="n">
        <v>46387</v>
      </c>
      <c r="H374" s="11" t="n">
        <v>46387</v>
      </c>
      <c r="I374" s="12" t="n">
        <f aca="true">IF(H374="","",H374-TODAY())</f>
        <v>80</v>
      </c>
      <c r="J374" s="10" t="s">
        <v>415</v>
      </c>
      <c r="K374" s="13" t="s">
        <v>53</v>
      </c>
      <c r="L374" s="14"/>
      <c r="M374" s="15"/>
      <c r="N374" s="16"/>
      <c r="O374" s="15"/>
      <c r="P374" s="16"/>
      <c r="Q374" s="15"/>
      <c r="R374" s="14"/>
    </row>
    <row r="375" customFormat="false" ht="15" hidden="false" customHeight="false" outlineLevel="0" collapsed="false">
      <c r="A375" s="9" t="s">
        <v>774</v>
      </c>
      <c r="B375" s="9" t="n">
        <v>1008</v>
      </c>
      <c r="C375" s="10" t="s">
        <v>1019</v>
      </c>
      <c r="D375" s="10" t="s">
        <v>1020</v>
      </c>
      <c r="E375" s="9" t="s">
        <v>59</v>
      </c>
      <c r="F375" s="9" t="s">
        <v>98</v>
      </c>
      <c r="G375" s="11" t="n">
        <v>46388</v>
      </c>
      <c r="H375" s="11" t="n">
        <v>46388</v>
      </c>
      <c r="I375" s="12" t="n">
        <f aca="true">IF(H375="","",H375-TODAY())</f>
        <v>81</v>
      </c>
      <c r="J375" s="10" t="s">
        <v>1021</v>
      </c>
      <c r="K375" s="13" t="s">
        <v>53</v>
      </c>
      <c r="L375" s="14"/>
      <c r="M375" s="15"/>
      <c r="N375" s="16"/>
      <c r="O375" s="15"/>
      <c r="P375" s="16"/>
      <c r="Q375" s="15"/>
      <c r="R375" s="14"/>
    </row>
    <row r="376" customFormat="false" ht="23.85" hidden="false" customHeight="false" outlineLevel="0" collapsed="false">
      <c r="A376" s="9" t="s">
        <v>774</v>
      </c>
      <c r="B376" s="9" t="n">
        <v>205</v>
      </c>
      <c r="C376" s="10" t="s">
        <v>1022</v>
      </c>
      <c r="D376" s="10" t="s">
        <v>884</v>
      </c>
      <c r="E376" s="9" t="s">
        <v>50</v>
      </c>
      <c r="F376" s="9" t="s">
        <v>51</v>
      </c>
      <c r="G376" s="11" t="n">
        <v>46391</v>
      </c>
      <c r="H376" s="11" t="n">
        <v>46391</v>
      </c>
      <c r="I376" s="12" t="n">
        <f aca="true">IF(H376="","",H376-TODAY())</f>
        <v>84</v>
      </c>
      <c r="J376" s="10" t="s">
        <v>1023</v>
      </c>
      <c r="K376" s="13" t="s">
        <v>53</v>
      </c>
      <c r="L376" s="14"/>
      <c r="M376" s="15"/>
      <c r="N376" s="16"/>
      <c r="O376" s="15"/>
      <c r="P376" s="16"/>
      <c r="Q376" s="15"/>
      <c r="R376" s="14"/>
    </row>
    <row r="377" customFormat="false" ht="23.85" hidden="false" customHeight="false" outlineLevel="0" collapsed="false">
      <c r="A377" s="9" t="s">
        <v>774</v>
      </c>
      <c r="B377" s="9" t="n">
        <v>537</v>
      </c>
      <c r="C377" s="10" t="s">
        <v>1024</v>
      </c>
      <c r="D377" s="10" t="s">
        <v>1025</v>
      </c>
      <c r="E377" s="9" t="s">
        <v>50</v>
      </c>
      <c r="F377" s="9" t="s">
        <v>51</v>
      </c>
      <c r="G377" s="11" t="n">
        <v>46392</v>
      </c>
      <c r="H377" s="11" t="n">
        <v>46392</v>
      </c>
      <c r="I377" s="12" t="n">
        <f aca="true">IF(H377="","",H377-TODAY())</f>
        <v>85</v>
      </c>
      <c r="J377" s="10" t="s">
        <v>1026</v>
      </c>
      <c r="K377" s="13" t="s">
        <v>53</v>
      </c>
      <c r="L377" s="14"/>
      <c r="M377" s="15"/>
      <c r="N377" s="16"/>
      <c r="O377" s="15"/>
      <c r="P377" s="16"/>
      <c r="Q377" s="15"/>
      <c r="R377" s="14"/>
    </row>
    <row r="378" customFormat="false" ht="23.85" hidden="false" customHeight="false" outlineLevel="0" collapsed="false">
      <c r="A378" s="9" t="s">
        <v>774</v>
      </c>
      <c r="B378" s="9" t="n">
        <v>224</v>
      </c>
      <c r="C378" s="10" t="s">
        <v>1027</v>
      </c>
      <c r="D378" s="10" t="s">
        <v>1028</v>
      </c>
      <c r="E378" s="9" t="s">
        <v>50</v>
      </c>
      <c r="F378" s="9" t="s">
        <v>51</v>
      </c>
      <c r="G378" s="11" t="n">
        <v>46394</v>
      </c>
      <c r="H378" s="11" t="n">
        <v>46394</v>
      </c>
      <c r="I378" s="12" t="n">
        <f aca="true">IF(H378="","",H378-TODAY())</f>
        <v>87</v>
      </c>
      <c r="J378" s="10" t="s">
        <v>1029</v>
      </c>
      <c r="K378" s="13" t="s">
        <v>53</v>
      </c>
      <c r="L378" s="14"/>
      <c r="M378" s="15"/>
      <c r="N378" s="16"/>
      <c r="O378" s="15"/>
      <c r="P378" s="16"/>
      <c r="Q378" s="15"/>
      <c r="R378" s="14"/>
    </row>
    <row r="379" customFormat="false" ht="35.05" hidden="false" customHeight="false" outlineLevel="0" collapsed="false">
      <c r="A379" s="9" t="s">
        <v>774</v>
      </c>
      <c r="B379" s="9" t="n">
        <v>26</v>
      </c>
      <c r="C379" s="10" t="s">
        <v>1030</v>
      </c>
      <c r="D379" s="10" t="s">
        <v>616</v>
      </c>
      <c r="E379" s="9" t="s">
        <v>59</v>
      </c>
      <c r="F379" s="9" t="s">
        <v>63</v>
      </c>
      <c r="G379" s="11" t="n">
        <v>46397</v>
      </c>
      <c r="H379" s="11" t="n">
        <v>46397</v>
      </c>
      <c r="I379" s="12" t="n">
        <f aca="true">IF(H379="","",H379-TODAY())</f>
        <v>90</v>
      </c>
      <c r="J379" s="10" t="s">
        <v>1031</v>
      </c>
      <c r="K379" s="13" t="s">
        <v>53</v>
      </c>
      <c r="L379" s="14"/>
      <c r="M379" s="15"/>
      <c r="N379" s="16"/>
      <c r="O379" s="15"/>
      <c r="P379" s="16"/>
      <c r="Q379" s="15"/>
      <c r="R379" s="14"/>
    </row>
    <row r="380" customFormat="false" ht="35.05" hidden="false" customHeight="false" outlineLevel="0" collapsed="false">
      <c r="A380" s="9" t="s">
        <v>774</v>
      </c>
      <c r="B380" s="9" t="n">
        <v>204</v>
      </c>
      <c r="C380" s="10" t="s">
        <v>1032</v>
      </c>
      <c r="D380" s="10" t="s">
        <v>792</v>
      </c>
      <c r="E380" s="9" t="s">
        <v>50</v>
      </c>
      <c r="F380" s="9" t="s">
        <v>51</v>
      </c>
      <c r="G380" s="11" t="n">
        <v>46402</v>
      </c>
      <c r="H380" s="11" t="n">
        <v>46402</v>
      </c>
      <c r="I380" s="12" t="n">
        <f aca="true">IF(H380="","",H380-TODAY())</f>
        <v>95</v>
      </c>
      <c r="J380" s="10" t="s">
        <v>1033</v>
      </c>
      <c r="K380" s="13" t="s">
        <v>53</v>
      </c>
      <c r="L380" s="14"/>
      <c r="M380" s="15"/>
      <c r="N380" s="16"/>
      <c r="O380" s="15"/>
      <c r="P380" s="16"/>
      <c r="Q380" s="15"/>
      <c r="R380" s="14"/>
    </row>
    <row r="381" customFormat="false" ht="23.85" hidden="false" customHeight="false" outlineLevel="0" collapsed="false">
      <c r="A381" s="9" t="s">
        <v>774</v>
      </c>
      <c r="B381" s="9" t="n">
        <v>307</v>
      </c>
      <c r="C381" s="10" t="s">
        <v>1034</v>
      </c>
      <c r="D381" s="10" t="s">
        <v>155</v>
      </c>
      <c r="E381" s="9" t="s">
        <v>59</v>
      </c>
      <c r="F381" s="9" t="s">
        <v>63</v>
      </c>
      <c r="G381" s="11" t="n">
        <v>46404</v>
      </c>
      <c r="H381" s="11" t="n">
        <v>46404</v>
      </c>
      <c r="I381" s="12" t="n">
        <f aca="true">IF(H381="","",H381-TODAY())</f>
        <v>97</v>
      </c>
      <c r="J381" s="10" t="s">
        <v>1035</v>
      </c>
      <c r="K381" s="13" t="s">
        <v>53</v>
      </c>
      <c r="L381" s="14"/>
      <c r="M381" s="15"/>
      <c r="N381" s="16"/>
      <c r="O381" s="15"/>
      <c r="P381" s="16"/>
      <c r="Q381" s="15"/>
      <c r="R381" s="14"/>
    </row>
    <row r="382" customFormat="false" ht="23.85" hidden="false" customHeight="false" outlineLevel="0" collapsed="false">
      <c r="A382" s="9" t="s">
        <v>774</v>
      </c>
      <c r="B382" s="9" t="n">
        <v>259</v>
      </c>
      <c r="C382" s="10" t="s">
        <v>1036</v>
      </c>
      <c r="D382" s="10" t="s">
        <v>1037</v>
      </c>
      <c r="E382" s="9" t="s">
        <v>59</v>
      </c>
      <c r="F382" s="9" t="s">
        <v>51</v>
      </c>
      <c r="G382" s="11" t="n">
        <v>46407</v>
      </c>
      <c r="H382" s="11" t="n">
        <v>46407</v>
      </c>
      <c r="I382" s="12" t="n">
        <f aca="true">IF(H382="","",H382-TODAY())</f>
        <v>100</v>
      </c>
      <c r="J382" s="10" t="s">
        <v>1038</v>
      </c>
      <c r="K382" s="13" t="s">
        <v>53</v>
      </c>
      <c r="L382" s="14"/>
      <c r="M382" s="15"/>
      <c r="N382" s="16"/>
      <c r="O382" s="15"/>
      <c r="P382" s="16"/>
      <c r="Q382" s="15"/>
      <c r="R382" s="14"/>
    </row>
    <row r="383" customFormat="false" ht="23.85" hidden="false" customHeight="false" outlineLevel="0" collapsed="false">
      <c r="A383" s="9" t="s">
        <v>774</v>
      </c>
      <c r="B383" s="9" t="n">
        <v>111</v>
      </c>
      <c r="C383" s="10" t="s">
        <v>1039</v>
      </c>
      <c r="D383" s="10" t="s">
        <v>1040</v>
      </c>
      <c r="E383" s="9" t="s">
        <v>50</v>
      </c>
      <c r="F383" s="9" t="s">
        <v>51</v>
      </c>
      <c r="G383" s="11" t="n">
        <v>46418</v>
      </c>
      <c r="H383" s="11" t="n">
        <v>46418</v>
      </c>
      <c r="I383" s="12" t="n">
        <f aca="true">IF(H383="","",H383-TODAY())</f>
        <v>111</v>
      </c>
      <c r="J383" s="10" t="s">
        <v>1041</v>
      </c>
      <c r="K383" s="13" t="s">
        <v>53</v>
      </c>
      <c r="L383" s="14"/>
      <c r="M383" s="15"/>
      <c r="N383" s="16"/>
      <c r="O383" s="15"/>
      <c r="P383" s="16"/>
      <c r="Q383" s="15"/>
      <c r="R383" s="14"/>
    </row>
    <row r="384" customFormat="false" ht="15" hidden="false" customHeight="false" outlineLevel="0" collapsed="false">
      <c r="A384" s="9" t="s">
        <v>774</v>
      </c>
      <c r="B384" s="9" t="n">
        <v>1067</v>
      </c>
      <c r="C384" s="10" t="s">
        <v>1042</v>
      </c>
      <c r="D384" s="10" t="s">
        <v>1043</v>
      </c>
      <c r="E384" s="9" t="s">
        <v>50</v>
      </c>
      <c r="F384" s="9" t="s">
        <v>51</v>
      </c>
      <c r="G384" s="11" t="n">
        <v>46418</v>
      </c>
      <c r="H384" s="11" t="n">
        <v>46418</v>
      </c>
      <c r="I384" s="12" t="n">
        <f aca="true">IF(H384="","",H384-TODAY())</f>
        <v>111</v>
      </c>
      <c r="J384" s="10" t="s">
        <v>503</v>
      </c>
      <c r="K384" s="13" t="s">
        <v>53</v>
      </c>
      <c r="L384" s="14"/>
      <c r="M384" s="15"/>
      <c r="N384" s="16"/>
      <c r="O384" s="15"/>
      <c r="P384" s="16"/>
      <c r="Q384" s="15"/>
      <c r="R384" s="14"/>
    </row>
    <row r="385" customFormat="false" ht="23.85" hidden="false" customHeight="false" outlineLevel="0" collapsed="false">
      <c r="A385" s="9" t="s">
        <v>774</v>
      </c>
      <c r="B385" s="9" t="n">
        <v>215</v>
      </c>
      <c r="C385" s="10" t="s">
        <v>1044</v>
      </c>
      <c r="D385" s="10" t="s">
        <v>1045</v>
      </c>
      <c r="E385" s="9" t="s">
        <v>50</v>
      </c>
      <c r="F385" s="9" t="s">
        <v>63</v>
      </c>
      <c r="G385" s="11" t="n">
        <v>46418</v>
      </c>
      <c r="H385" s="11" t="n">
        <v>46418</v>
      </c>
      <c r="I385" s="12" t="n">
        <f aca="true">IF(H385="","",H385-TODAY())</f>
        <v>111</v>
      </c>
      <c r="J385" s="10" t="s">
        <v>1046</v>
      </c>
      <c r="K385" s="13" t="s">
        <v>53</v>
      </c>
      <c r="L385" s="14"/>
      <c r="M385" s="15"/>
      <c r="N385" s="16"/>
      <c r="O385" s="15"/>
      <c r="P385" s="16"/>
      <c r="Q385" s="15"/>
      <c r="R385" s="14"/>
    </row>
    <row r="386" customFormat="false" ht="15" hidden="false" customHeight="false" outlineLevel="0" collapsed="false">
      <c r="A386" s="9" t="s">
        <v>774</v>
      </c>
      <c r="B386" s="9" t="n">
        <v>450</v>
      </c>
      <c r="C386" s="10" t="s">
        <v>1047</v>
      </c>
      <c r="D386" s="10" t="s">
        <v>1043</v>
      </c>
      <c r="E386" s="9" t="s">
        <v>50</v>
      </c>
      <c r="F386" s="9" t="s">
        <v>51</v>
      </c>
      <c r="G386" s="11" t="n">
        <v>46418</v>
      </c>
      <c r="H386" s="11" t="n">
        <v>46418</v>
      </c>
      <c r="I386" s="12" t="n">
        <f aca="true">IF(H386="","",H386-TODAY())</f>
        <v>111</v>
      </c>
      <c r="J386" s="10"/>
      <c r="K386" s="13" t="s">
        <v>53</v>
      </c>
      <c r="L386" s="14"/>
      <c r="M386" s="15"/>
      <c r="N386" s="16"/>
      <c r="O386" s="15"/>
      <c r="P386" s="16"/>
      <c r="Q386" s="15"/>
      <c r="R386" s="14"/>
    </row>
    <row r="387" customFormat="false" ht="23.85" hidden="false" customHeight="false" outlineLevel="0" collapsed="false">
      <c r="A387" s="9" t="s">
        <v>774</v>
      </c>
      <c r="B387" s="9" t="n">
        <v>1098</v>
      </c>
      <c r="C387" s="10" t="s">
        <v>1048</v>
      </c>
      <c r="D387" s="10" t="s">
        <v>1049</v>
      </c>
      <c r="E387" s="9" t="s">
        <v>50</v>
      </c>
      <c r="F387" s="9" t="s">
        <v>98</v>
      </c>
      <c r="G387" s="11" t="n">
        <v>46419</v>
      </c>
      <c r="H387" s="11" t="n">
        <v>46419</v>
      </c>
      <c r="I387" s="12" t="n">
        <f aca="true">IF(H387="","",H387-TODAY())</f>
        <v>112</v>
      </c>
      <c r="J387" s="10" t="s">
        <v>1050</v>
      </c>
      <c r="K387" s="13" t="s">
        <v>53</v>
      </c>
      <c r="L387" s="14"/>
      <c r="M387" s="15"/>
      <c r="N387" s="16"/>
      <c r="O387" s="15"/>
      <c r="P387" s="16"/>
      <c r="Q387" s="15"/>
      <c r="R387" s="14"/>
    </row>
    <row r="388" customFormat="false" ht="23.85" hidden="false" customHeight="false" outlineLevel="0" collapsed="false">
      <c r="A388" s="9" t="s">
        <v>774</v>
      </c>
      <c r="B388" s="9" t="n">
        <v>967</v>
      </c>
      <c r="C388" s="10" t="s">
        <v>1051</v>
      </c>
      <c r="D388" s="10" t="s">
        <v>177</v>
      </c>
      <c r="E388" s="9" t="s">
        <v>59</v>
      </c>
      <c r="F388" s="9" t="s">
        <v>63</v>
      </c>
      <c r="G388" s="11" t="n">
        <v>46419</v>
      </c>
      <c r="H388" s="11" t="n">
        <v>46419</v>
      </c>
      <c r="I388" s="12" t="n">
        <f aca="true">IF(H388="","",H388-TODAY())</f>
        <v>112</v>
      </c>
      <c r="J388" s="10"/>
      <c r="K388" s="13" t="s">
        <v>53</v>
      </c>
      <c r="L388" s="14"/>
      <c r="M388" s="15"/>
      <c r="N388" s="16"/>
      <c r="O388" s="15"/>
      <c r="P388" s="16"/>
      <c r="Q388" s="15"/>
      <c r="R388" s="14"/>
    </row>
    <row r="389" customFormat="false" ht="23.85" hidden="false" customHeight="false" outlineLevel="0" collapsed="false">
      <c r="A389" s="9" t="s">
        <v>774</v>
      </c>
      <c r="B389" s="9" t="n">
        <v>139</v>
      </c>
      <c r="C389" s="10" t="s">
        <v>1052</v>
      </c>
      <c r="D389" s="10" t="s">
        <v>1053</v>
      </c>
      <c r="E389" s="9" t="s">
        <v>50</v>
      </c>
      <c r="F389" s="9" t="s">
        <v>63</v>
      </c>
      <c r="G389" s="11" t="n">
        <v>46419</v>
      </c>
      <c r="H389" s="11" t="n">
        <v>46419</v>
      </c>
      <c r="I389" s="12" t="n">
        <f aca="true">IF(H389="","",H389-TODAY())</f>
        <v>112</v>
      </c>
      <c r="J389" s="10" t="s">
        <v>1054</v>
      </c>
      <c r="K389" s="13" t="s">
        <v>53</v>
      </c>
      <c r="L389" s="14"/>
      <c r="M389" s="15"/>
      <c r="N389" s="16"/>
      <c r="O389" s="15"/>
      <c r="P389" s="16"/>
      <c r="Q389" s="15"/>
      <c r="R389" s="14"/>
    </row>
    <row r="390" customFormat="false" ht="23.85" hidden="false" customHeight="false" outlineLevel="0" collapsed="false">
      <c r="A390" s="9" t="s">
        <v>774</v>
      </c>
      <c r="B390" s="9" t="n">
        <v>250</v>
      </c>
      <c r="C390" s="10" t="s">
        <v>1055</v>
      </c>
      <c r="D390" s="10" t="s">
        <v>1056</v>
      </c>
      <c r="E390" s="9" t="s">
        <v>50</v>
      </c>
      <c r="F390" s="9" t="s">
        <v>63</v>
      </c>
      <c r="G390" s="11" t="n">
        <v>46419</v>
      </c>
      <c r="H390" s="11" t="n">
        <v>46419</v>
      </c>
      <c r="I390" s="12" t="n">
        <f aca="true">IF(H390="","",H390-TODAY())</f>
        <v>112</v>
      </c>
      <c r="J390" s="10" t="s">
        <v>184</v>
      </c>
      <c r="K390" s="13" t="s">
        <v>53</v>
      </c>
      <c r="L390" s="14"/>
      <c r="M390" s="15"/>
      <c r="N390" s="16"/>
      <c r="O390" s="15"/>
      <c r="P390" s="16"/>
      <c r="Q390" s="15"/>
      <c r="R390" s="14"/>
    </row>
    <row r="391" customFormat="false" ht="23.85" hidden="false" customHeight="false" outlineLevel="0" collapsed="false">
      <c r="A391" s="9" t="s">
        <v>774</v>
      </c>
      <c r="B391" s="9" t="n">
        <v>255</v>
      </c>
      <c r="C391" s="10" t="s">
        <v>1057</v>
      </c>
      <c r="D391" s="10" t="s">
        <v>1058</v>
      </c>
      <c r="E391" s="9" t="s">
        <v>59</v>
      </c>
      <c r="F391" s="9" t="s">
        <v>63</v>
      </c>
      <c r="G391" s="11" t="n">
        <v>46419</v>
      </c>
      <c r="H391" s="11" t="n">
        <v>46419</v>
      </c>
      <c r="I391" s="12" t="n">
        <f aca="true">IF(H391="","",H391-TODAY())</f>
        <v>112</v>
      </c>
      <c r="J391" s="10" t="s">
        <v>1059</v>
      </c>
      <c r="K391" s="13" t="s">
        <v>53</v>
      </c>
      <c r="L391" s="14"/>
      <c r="M391" s="15"/>
      <c r="N391" s="16"/>
      <c r="O391" s="15"/>
      <c r="P391" s="16"/>
      <c r="Q391" s="15"/>
      <c r="R391" s="14"/>
    </row>
    <row r="392" customFormat="false" ht="35.05" hidden="false" customHeight="false" outlineLevel="0" collapsed="false">
      <c r="A392" s="9" t="s">
        <v>774</v>
      </c>
      <c r="B392" s="9" t="n">
        <v>968</v>
      </c>
      <c r="C392" s="10" t="s">
        <v>1060</v>
      </c>
      <c r="D392" s="10" t="s">
        <v>177</v>
      </c>
      <c r="E392" s="9" t="s">
        <v>59</v>
      </c>
      <c r="F392" s="9" t="s">
        <v>63</v>
      </c>
      <c r="G392" s="11" t="n">
        <v>46419</v>
      </c>
      <c r="H392" s="11" t="n">
        <v>46419</v>
      </c>
      <c r="I392" s="12" t="n">
        <f aca="true">IF(H392="","",H392-TODAY())</f>
        <v>112</v>
      </c>
      <c r="J392" s="10" t="s">
        <v>1061</v>
      </c>
      <c r="K392" s="13" t="s">
        <v>53</v>
      </c>
      <c r="L392" s="14"/>
      <c r="M392" s="15"/>
      <c r="N392" s="16"/>
      <c r="O392" s="15"/>
      <c r="P392" s="16"/>
      <c r="Q392" s="15"/>
      <c r="R392" s="14"/>
    </row>
    <row r="393" customFormat="false" ht="15" hidden="false" customHeight="false" outlineLevel="0" collapsed="false">
      <c r="A393" s="9" t="s">
        <v>774</v>
      </c>
      <c r="B393" s="9" t="n">
        <v>482</v>
      </c>
      <c r="C393" s="10" t="s">
        <v>1062</v>
      </c>
      <c r="D393" s="10" t="s">
        <v>1063</v>
      </c>
      <c r="E393" s="9" t="s">
        <v>59</v>
      </c>
      <c r="F393" s="9" t="s">
        <v>63</v>
      </c>
      <c r="G393" s="11" t="n">
        <v>46419</v>
      </c>
      <c r="H393" s="11" t="n">
        <v>46419</v>
      </c>
      <c r="I393" s="12" t="n">
        <f aca="true">IF(H393="","",H393-TODAY())</f>
        <v>112</v>
      </c>
      <c r="J393" s="10" t="s">
        <v>255</v>
      </c>
      <c r="K393" s="13" t="s">
        <v>53</v>
      </c>
      <c r="L393" s="14"/>
      <c r="M393" s="15"/>
      <c r="N393" s="16"/>
      <c r="O393" s="15"/>
      <c r="P393" s="16"/>
      <c r="Q393" s="15"/>
      <c r="R393" s="14"/>
    </row>
    <row r="394" customFormat="false" ht="15" hidden="false" customHeight="false" outlineLevel="0" collapsed="false">
      <c r="A394" s="9" t="s">
        <v>774</v>
      </c>
      <c r="B394" s="9" t="n">
        <v>257</v>
      </c>
      <c r="C394" s="10" t="s">
        <v>1064</v>
      </c>
      <c r="D394" s="10" t="s">
        <v>1065</v>
      </c>
      <c r="E394" s="9" t="s">
        <v>59</v>
      </c>
      <c r="F394" s="9" t="s">
        <v>63</v>
      </c>
      <c r="G394" s="11" t="n">
        <v>46419</v>
      </c>
      <c r="H394" s="11" t="n">
        <v>46419</v>
      </c>
      <c r="I394" s="12" t="n">
        <f aca="true">IF(H394="","",H394-TODAY())</f>
        <v>112</v>
      </c>
      <c r="J394" s="10" t="s">
        <v>1066</v>
      </c>
      <c r="K394" s="13" t="s">
        <v>53</v>
      </c>
      <c r="L394" s="14"/>
      <c r="M394" s="15"/>
      <c r="N394" s="16"/>
      <c r="O394" s="15"/>
      <c r="P394" s="16"/>
      <c r="Q394" s="15"/>
      <c r="R394" s="14"/>
    </row>
    <row r="395" customFormat="false" ht="35.05" hidden="false" customHeight="false" outlineLevel="0" collapsed="false">
      <c r="A395" s="9" t="s">
        <v>774</v>
      </c>
      <c r="B395" s="9" t="n">
        <v>933</v>
      </c>
      <c r="C395" s="10" t="s">
        <v>1067</v>
      </c>
      <c r="D395" s="10" t="s">
        <v>1068</v>
      </c>
      <c r="E395" s="9" t="s">
        <v>59</v>
      </c>
      <c r="F395" s="9" t="s">
        <v>51</v>
      </c>
      <c r="G395" s="11" t="n">
        <v>46419</v>
      </c>
      <c r="H395" s="11" t="n">
        <v>46419</v>
      </c>
      <c r="I395" s="12" t="n">
        <f aca="true">IF(H395="","",H395-TODAY())</f>
        <v>112</v>
      </c>
      <c r="J395" s="10" t="s">
        <v>1069</v>
      </c>
      <c r="K395" s="13" t="s">
        <v>53</v>
      </c>
      <c r="L395" s="14"/>
      <c r="M395" s="15"/>
      <c r="N395" s="16"/>
      <c r="O395" s="15"/>
      <c r="P395" s="16"/>
      <c r="Q395" s="15"/>
      <c r="R395" s="14"/>
    </row>
    <row r="396" customFormat="false" ht="15" hidden="false" customHeight="false" outlineLevel="0" collapsed="false">
      <c r="A396" s="9" t="s">
        <v>774</v>
      </c>
      <c r="B396" s="9" t="n">
        <v>803</v>
      </c>
      <c r="C396" s="10" t="s">
        <v>1070</v>
      </c>
      <c r="D396" s="10" t="s">
        <v>988</v>
      </c>
      <c r="E396" s="9" t="s">
        <v>59</v>
      </c>
      <c r="F396" s="9" t="s">
        <v>63</v>
      </c>
      <c r="G396" s="11" t="n">
        <v>46419</v>
      </c>
      <c r="H396" s="11" t="n">
        <v>46419</v>
      </c>
      <c r="I396" s="12" t="n">
        <f aca="true">IF(H396="","",H396-TODAY())</f>
        <v>112</v>
      </c>
      <c r="J396" s="10" t="s">
        <v>1071</v>
      </c>
      <c r="K396" s="13" t="s">
        <v>53</v>
      </c>
      <c r="L396" s="14"/>
      <c r="M396" s="15"/>
      <c r="N396" s="16"/>
      <c r="O396" s="15"/>
      <c r="P396" s="16"/>
      <c r="Q396" s="15"/>
      <c r="R396" s="14"/>
    </row>
    <row r="397" customFormat="false" ht="23.85" hidden="false" customHeight="false" outlineLevel="0" collapsed="false">
      <c r="A397" s="9" t="s">
        <v>774</v>
      </c>
      <c r="B397" s="9" t="n">
        <v>1052</v>
      </c>
      <c r="C397" s="10" t="s">
        <v>1072</v>
      </c>
      <c r="D397" s="10" t="s">
        <v>174</v>
      </c>
      <c r="E397" s="9" t="s">
        <v>59</v>
      </c>
      <c r="F397" s="9" t="s">
        <v>63</v>
      </c>
      <c r="G397" s="11" t="n">
        <v>46419</v>
      </c>
      <c r="H397" s="11" t="n">
        <v>46419</v>
      </c>
      <c r="I397" s="12" t="n">
        <f aca="true">IF(H397="","",H397-TODAY())</f>
        <v>112</v>
      </c>
      <c r="J397" s="10" t="s">
        <v>1073</v>
      </c>
      <c r="K397" s="13" t="s">
        <v>53</v>
      </c>
      <c r="L397" s="14"/>
      <c r="M397" s="15"/>
      <c r="N397" s="16"/>
      <c r="O397" s="15"/>
      <c r="P397" s="16"/>
      <c r="Q397" s="15"/>
      <c r="R397" s="14"/>
    </row>
    <row r="398" customFormat="false" ht="23.85" hidden="false" customHeight="false" outlineLevel="0" collapsed="false">
      <c r="A398" s="9" t="s">
        <v>774</v>
      </c>
      <c r="B398" s="9" t="n">
        <v>424</v>
      </c>
      <c r="C398" s="10" t="s">
        <v>1074</v>
      </c>
      <c r="D398" s="10" t="s">
        <v>1075</v>
      </c>
      <c r="E398" s="9" t="s">
        <v>59</v>
      </c>
      <c r="F398" s="9" t="s">
        <v>63</v>
      </c>
      <c r="G398" s="11" t="n">
        <v>46427</v>
      </c>
      <c r="H398" s="11" t="n">
        <v>46427</v>
      </c>
      <c r="I398" s="12" t="n">
        <f aca="true">IF(H398="","",H398-TODAY())</f>
        <v>120</v>
      </c>
      <c r="J398" s="10" t="s">
        <v>1076</v>
      </c>
      <c r="K398" s="13" t="s">
        <v>53</v>
      </c>
      <c r="L398" s="14"/>
      <c r="M398" s="15"/>
      <c r="N398" s="16"/>
      <c r="O398" s="15"/>
      <c r="P398" s="16"/>
      <c r="Q398" s="15"/>
      <c r="R398" s="14"/>
    </row>
    <row r="399" customFormat="false" ht="23.85" hidden="false" customHeight="false" outlineLevel="0" collapsed="false">
      <c r="A399" s="9" t="s">
        <v>774</v>
      </c>
      <c r="B399" s="9" t="n">
        <v>939</v>
      </c>
      <c r="C399" s="10" t="s">
        <v>1077</v>
      </c>
      <c r="D399" s="10" t="s">
        <v>1078</v>
      </c>
      <c r="E399" s="9" t="s">
        <v>59</v>
      </c>
      <c r="F399" s="9" t="s">
        <v>63</v>
      </c>
      <c r="G399" s="11" t="n">
        <v>46433</v>
      </c>
      <c r="H399" s="11" t="n">
        <v>46433</v>
      </c>
      <c r="I399" s="12" t="n">
        <f aca="true">IF(H399="","",H399-TODAY())</f>
        <v>126</v>
      </c>
      <c r="J399" s="10"/>
      <c r="K399" s="13" t="s">
        <v>53</v>
      </c>
      <c r="L399" s="14"/>
      <c r="M399" s="15"/>
      <c r="N399" s="16"/>
      <c r="O399" s="15"/>
      <c r="P399" s="16"/>
      <c r="Q399" s="15"/>
      <c r="R399" s="14"/>
    </row>
    <row r="400" customFormat="false" ht="35.05" hidden="false" customHeight="false" outlineLevel="0" collapsed="false">
      <c r="A400" s="9" t="s">
        <v>774</v>
      </c>
      <c r="B400" s="9" t="n">
        <v>166</v>
      </c>
      <c r="C400" s="10" t="s">
        <v>1079</v>
      </c>
      <c r="D400" s="10" t="s">
        <v>1080</v>
      </c>
      <c r="E400" s="9" t="s">
        <v>59</v>
      </c>
      <c r="F400" s="9" t="s">
        <v>98</v>
      </c>
      <c r="G400" s="11" t="n">
        <v>46447</v>
      </c>
      <c r="H400" s="11" t="n">
        <v>46447</v>
      </c>
      <c r="I400" s="12" t="n">
        <f aca="true">IF(H400="","",H400-TODAY())</f>
        <v>140</v>
      </c>
      <c r="J400" s="10" t="s">
        <v>1081</v>
      </c>
      <c r="K400" s="13" t="s">
        <v>53</v>
      </c>
      <c r="L400" s="14"/>
      <c r="M400" s="15"/>
      <c r="N400" s="16"/>
      <c r="O400" s="15"/>
      <c r="P400" s="16"/>
      <c r="Q400" s="15"/>
      <c r="R400" s="14"/>
    </row>
    <row r="401" customFormat="false" ht="15" hidden="false" customHeight="false" outlineLevel="0" collapsed="false">
      <c r="A401" s="9" t="s">
        <v>774</v>
      </c>
      <c r="B401" s="9" t="n">
        <v>305</v>
      </c>
      <c r="C401" s="10" t="s">
        <v>1082</v>
      </c>
      <c r="D401" s="10" t="s">
        <v>1083</v>
      </c>
      <c r="E401" s="9" t="s">
        <v>59</v>
      </c>
      <c r="F401" s="9" t="s">
        <v>63</v>
      </c>
      <c r="G401" s="11" t="n">
        <v>46447</v>
      </c>
      <c r="H401" s="11" t="n">
        <v>46447</v>
      </c>
      <c r="I401" s="12" t="n">
        <f aca="true">IF(H401="","",H401-TODAY())</f>
        <v>140</v>
      </c>
      <c r="J401" s="10" t="s">
        <v>1084</v>
      </c>
      <c r="K401" s="13" t="s">
        <v>53</v>
      </c>
      <c r="L401" s="14"/>
      <c r="M401" s="15"/>
      <c r="N401" s="16"/>
      <c r="O401" s="15"/>
      <c r="P401" s="16"/>
      <c r="Q401" s="15"/>
      <c r="R401" s="14"/>
    </row>
    <row r="402" customFormat="false" ht="23.85" hidden="false" customHeight="false" outlineLevel="0" collapsed="false">
      <c r="A402" s="9" t="s">
        <v>774</v>
      </c>
      <c r="B402" s="9" t="n">
        <v>297</v>
      </c>
      <c r="C402" s="10" t="s">
        <v>1085</v>
      </c>
      <c r="D402" s="10" t="s">
        <v>510</v>
      </c>
      <c r="E402" s="9" t="s">
        <v>59</v>
      </c>
      <c r="F402" s="9" t="s">
        <v>63</v>
      </c>
      <c r="G402" s="11" t="n">
        <v>46447</v>
      </c>
      <c r="H402" s="11" t="n">
        <v>46447</v>
      </c>
      <c r="I402" s="12" t="n">
        <f aca="true">IF(H402="","",H402-TODAY())</f>
        <v>140</v>
      </c>
      <c r="J402" s="10" t="s">
        <v>711</v>
      </c>
      <c r="K402" s="13" t="s">
        <v>53</v>
      </c>
      <c r="L402" s="14"/>
      <c r="M402" s="15"/>
      <c r="N402" s="16"/>
      <c r="O402" s="15"/>
      <c r="P402" s="16"/>
      <c r="Q402" s="15"/>
      <c r="R402" s="14"/>
    </row>
    <row r="403" customFormat="false" ht="23.85" hidden="false" customHeight="false" outlineLevel="0" collapsed="false">
      <c r="A403" s="9" t="s">
        <v>774</v>
      </c>
      <c r="B403" s="9" t="n">
        <v>298</v>
      </c>
      <c r="C403" s="10" t="s">
        <v>1086</v>
      </c>
      <c r="D403" s="10" t="s">
        <v>510</v>
      </c>
      <c r="E403" s="9" t="s">
        <v>59</v>
      </c>
      <c r="F403" s="9" t="s">
        <v>63</v>
      </c>
      <c r="G403" s="11" t="n">
        <v>46447</v>
      </c>
      <c r="H403" s="11" t="n">
        <v>46447</v>
      </c>
      <c r="I403" s="12" t="n">
        <f aca="true">IF(H403="","",H403-TODAY())</f>
        <v>140</v>
      </c>
      <c r="J403" s="10" t="s">
        <v>1087</v>
      </c>
      <c r="K403" s="13" t="s">
        <v>53</v>
      </c>
      <c r="L403" s="14"/>
      <c r="M403" s="15"/>
      <c r="N403" s="16"/>
      <c r="O403" s="15"/>
      <c r="P403" s="16"/>
      <c r="Q403" s="15"/>
      <c r="R403" s="14"/>
    </row>
    <row r="404" customFormat="false" ht="46.25" hidden="false" customHeight="false" outlineLevel="0" collapsed="false">
      <c r="A404" s="9" t="s">
        <v>774</v>
      </c>
      <c r="B404" s="9" t="n">
        <v>1100</v>
      </c>
      <c r="C404" s="10" t="s">
        <v>1088</v>
      </c>
      <c r="D404" s="10" t="s">
        <v>1089</v>
      </c>
      <c r="E404" s="9" t="s">
        <v>50</v>
      </c>
      <c r="F404" s="9" t="s">
        <v>683</v>
      </c>
      <c r="G404" s="11" t="n">
        <v>46461</v>
      </c>
      <c r="H404" s="11" t="n">
        <v>46461</v>
      </c>
      <c r="I404" s="12" t="n">
        <f aca="true">IF(H404="","",H404-TODAY())</f>
        <v>154</v>
      </c>
      <c r="J404" s="10" t="s">
        <v>1090</v>
      </c>
      <c r="K404" s="13" t="s">
        <v>53</v>
      </c>
      <c r="L404" s="14"/>
      <c r="M404" s="15"/>
      <c r="N404" s="16"/>
      <c r="O404" s="15"/>
      <c r="P404" s="16"/>
      <c r="Q404" s="15"/>
      <c r="R404" s="14"/>
    </row>
    <row r="405" customFormat="false" ht="23.85" hidden="false" customHeight="false" outlineLevel="0" collapsed="false">
      <c r="A405" s="9" t="s">
        <v>774</v>
      </c>
      <c r="B405" s="9" t="n">
        <v>486</v>
      </c>
      <c r="C405" s="10" t="s">
        <v>1091</v>
      </c>
      <c r="D405" s="10" t="s">
        <v>1092</v>
      </c>
      <c r="E405" s="9" t="s">
        <v>59</v>
      </c>
      <c r="F405" s="9" t="s">
        <v>63</v>
      </c>
      <c r="G405" s="11" t="n">
        <v>46461</v>
      </c>
      <c r="H405" s="11" t="n">
        <v>46461</v>
      </c>
      <c r="I405" s="12" t="n">
        <f aca="true">IF(H405="","",H405-TODAY())</f>
        <v>154</v>
      </c>
      <c r="J405" s="10" t="s">
        <v>1093</v>
      </c>
      <c r="K405" s="13" t="s">
        <v>53</v>
      </c>
      <c r="L405" s="14"/>
      <c r="M405" s="15"/>
      <c r="N405" s="16"/>
      <c r="O405" s="15"/>
      <c r="P405" s="16"/>
      <c r="Q405" s="15"/>
      <c r="R405" s="14"/>
    </row>
    <row r="406" customFormat="false" ht="15" hidden="false" customHeight="false" outlineLevel="0" collapsed="false">
      <c r="A406" s="9" t="s">
        <v>774</v>
      </c>
      <c r="B406" s="9" t="n">
        <v>106</v>
      </c>
      <c r="C406" s="10" t="s">
        <v>1094</v>
      </c>
      <c r="D406" s="10" t="s">
        <v>1095</v>
      </c>
      <c r="E406" s="9" t="s">
        <v>59</v>
      </c>
      <c r="F406" s="9" t="s">
        <v>98</v>
      </c>
      <c r="G406" s="11" t="n">
        <v>46508</v>
      </c>
      <c r="H406" s="11" t="n">
        <v>46508</v>
      </c>
      <c r="I406" s="12" t="n">
        <f aca="true">IF(H406="","",H406-TODAY())</f>
        <v>201</v>
      </c>
      <c r="J406" s="10" t="s">
        <v>1096</v>
      </c>
      <c r="K406" s="13" t="s">
        <v>53</v>
      </c>
      <c r="L406" s="14"/>
      <c r="M406" s="15"/>
      <c r="N406" s="16"/>
      <c r="O406" s="15"/>
      <c r="P406" s="16"/>
      <c r="Q406" s="15"/>
      <c r="R406" s="14"/>
    </row>
    <row r="407" customFormat="false" ht="35.05" hidden="false" customHeight="false" outlineLevel="0" collapsed="false">
      <c r="A407" s="9" t="s">
        <v>774</v>
      </c>
      <c r="B407" s="9" t="n">
        <v>873</v>
      </c>
      <c r="C407" s="10" t="s">
        <v>1097</v>
      </c>
      <c r="D407" s="10" t="s">
        <v>430</v>
      </c>
      <c r="E407" s="9" t="s">
        <v>59</v>
      </c>
      <c r="F407" s="9" t="s">
        <v>98</v>
      </c>
      <c r="G407" s="11" t="n">
        <v>46539</v>
      </c>
      <c r="H407" s="11" t="n">
        <v>46539</v>
      </c>
      <c r="I407" s="12" t="n">
        <f aca="true">IF(H407="","",H407-TODAY())</f>
        <v>232</v>
      </c>
      <c r="J407" s="10" t="s">
        <v>1098</v>
      </c>
      <c r="K407" s="13" t="s">
        <v>53</v>
      </c>
      <c r="L407" s="14"/>
      <c r="M407" s="15"/>
      <c r="N407" s="16"/>
      <c r="O407" s="15"/>
      <c r="P407" s="16"/>
      <c r="Q407" s="15"/>
      <c r="R407" s="14"/>
    </row>
    <row r="408" customFormat="false" ht="23.85" hidden="false" customHeight="false" outlineLevel="0" collapsed="false">
      <c r="A408" s="9" t="s">
        <v>774</v>
      </c>
      <c r="B408" s="9" t="n">
        <v>38</v>
      </c>
      <c r="C408" s="10" t="s">
        <v>1099</v>
      </c>
      <c r="D408" s="10" t="s">
        <v>1100</v>
      </c>
      <c r="E408" s="9" t="s">
        <v>50</v>
      </c>
      <c r="F408" s="9" t="s">
        <v>365</v>
      </c>
      <c r="G408" s="11" t="n">
        <v>46614</v>
      </c>
      <c r="H408" s="11" t="n">
        <v>46614</v>
      </c>
      <c r="I408" s="12" t="n">
        <f aca="true">IF(H408="","",H408-TODAY())</f>
        <v>307</v>
      </c>
      <c r="J408" s="10" t="s">
        <v>235</v>
      </c>
      <c r="K408" s="13" t="s">
        <v>53</v>
      </c>
      <c r="L408" s="14"/>
      <c r="M408" s="15"/>
      <c r="N408" s="16"/>
      <c r="O408" s="15"/>
      <c r="P408" s="16"/>
      <c r="Q408" s="15"/>
      <c r="R408" s="14"/>
    </row>
  </sheetData>
  <autoFilter ref="A1:R408"/>
  <conditionalFormatting sqref="A2:K408">
    <cfRule type="expression" priority="2" aboveAverage="0" equalAverage="0" bottom="0" percent="0" rank="0" text="" dxfId="6">
      <formula>$O2&lt;&gt;""</formula>
    </cfRule>
  </conditionalFormatting>
  <dataValidations count="2">
    <dataValidation allowBlank="true" error="Pick a status from the list" errorStyle="stop" errorTitle="Status" operator="between" showDropDown="false" showErrorMessage="false" showInputMessage="false" sqref="O2:O408" type="list">
      <formula1>"Updated,No change needed,Not posted yet,Discontinued / paused,Link broken - new link found,Link broken - not found"</formula1>
      <formula2>0</formula2>
    </dataValidation>
    <dataValidation allowBlank="true" error="Enter a date, e.g. 11/1/2026" errorStyle="stop" operator="greaterThan" showDropDown="false" showErrorMessage="false" showInputMessage="false" sqref="L2:L408 R2:R408" type="date">
      <formula1>DATE(2020,1,1)</formula1>
      <formula2>0</formula2>
    </dataValidation>
  </dataValidations>
  <hyperlinks>
    <hyperlink ref="K2" r:id="rId1" display="Open page"/>
    <hyperlink ref="K3" r:id="rId2" display="Open page"/>
    <hyperlink ref="K4" r:id="rId3" display="Open page"/>
    <hyperlink ref="K5" r:id="rId4" display="Open page"/>
    <hyperlink ref="K6" r:id="rId5" display="Open page"/>
    <hyperlink ref="K7" r:id="rId6" display="Open page"/>
    <hyperlink ref="K8" r:id="rId7" display="Open page"/>
    <hyperlink ref="K9" r:id="rId8" display="Open page"/>
    <hyperlink ref="K10" r:id="rId9" display="Open page"/>
    <hyperlink ref="K11" r:id="rId10" display="Open page"/>
    <hyperlink ref="K12" r:id="rId11" display="Open page"/>
    <hyperlink ref="K13" r:id="rId12" display="Open page"/>
    <hyperlink ref="K14" r:id="rId13" display="Open page"/>
    <hyperlink ref="K15" r:id="rId14" display="Open page"/>
    <hyperlink ref="K16" r:id="rId15" display="Open page"/>
    <hyperlink ref="K17" r:id="rId16" display="Open page"/>
    <hyperlink ref="K18" r:id="rId17" display="Open page"/>
    <hyperlink ref="K19" r:id="rId18" display="Open page"/>
    <hyperlink ref="K20" r:id="rId19" display="Open page"/>
    <hyperlink ref="K21" r:id="rId20" display="Open page"/>
    <hyperlink ref="K22" r:id="rId21" display="Open page"/>
    <hyperlink ref="K23" r:id="rId22" display="Open page"/>
    <hyperlink ref="K24" r:id="rId23" display="Open page"/>
    <hyperlink ref="K25" r:id="rId24" display="Open page"/>
    <hyperlink ref="K26" r:id="rId25" display="Open page"/>
    <hyperlink ref="K27" r:id="rId26" display="Open page"/>
    <hyperlink ref="K28" r:id="rId27" display="Open page"/>
    <hyperlink ref="K29" r:id="rId28" display="Open page"/>
    <hyperlink ref="K30" r:id="rId29" display="Open page"/>
    <hyperlink ref="K31" r:id="rId30" display="Open page"/>
    <hyperlink ref="K32" r:id="rId31" display="Open page"/>
    <hyperlink ref="K33" r:id="rId32" display="Open page"/>
    <hyperlink ref="K34" r:id="rId33" display="Open page"/>
    <hyperlink ref="K35" r:id="rId34" display="Open page"/>
    <hyperlink ref="K36" r:id="rId35" display="Open page"/>
    <hyperlink ref="K37" r:id="rId36" display="Open page"/>
    <hyperlink ref="K38" r:id="rId37" display="Open page"/>
    <hyperlink ref="K39" r:id="rId38" display="Open page"/>
    <hyperlink ref="K40" r:id="rId39" display="Open page"/>
    <hyperlink ref="K41" r:id="rId40" display="Open page"/>
    <hyperlink ref="K42" r:id="rId41" display="Open page"/>
    <hyperlink ref="K43" r:id="rId42" display="Open page"/>
    <hyperlink ref="K44" r:id="rId43" display="Open page"/>
    <hyperlink ref="K45" r:id="rId44" display="Open page"/>
    <hyperlink ref="K46" r:id="rId45" display="Open page"/>
    <hyperlink ref="K47" r:id="rId46" display="Open page"/>
    <hyperlink ref="K48" r:id="rId47" display="Open page"/>
    <hyperlink ref="K49" r:id="rId48" location="/view-record/772/0" display="Open page"/>
    <hyperlink ref="K50" r:id="rId49" display="Open page"/>
    <hyperlink ref="K51" r:id="rId50" display="Open page"/>
    <hyperlink ref="K52" r:id="rId51" display="Open page"/>
    <hyperlink ref="K53" r:id="rId52" display="Open page"/>
    <hyperlink ref="K54" r:id="rId53" display="Open page"/>
    <hyperlink ref="K55" r:id="rId54" display="Open page"/>
    <hyperlink ref="K56" r:id="rId55" display="Open page"/>
    <hyperlink ref="K57" r:id="rId56" display="Open page"/>
    <hyperlink ref="K58" r:id="rId57" display="Open page"/>
    <hyperlink ref="K59" r:id="rId58" display="Open page"/>
    <hyperlink ref="K60" r:id="rId59" display="Open page"/>
    <hyperlink ref="K61" r:id="rId60" display="Open page"/>
    <hyperlink ref="K62" r:id="rId61" display="Open page"/>
    <hyperlink ref="K63" r:id="rId62" display="Open page"/>
    <hyperlink ref="K64" r:id="rId63" display="Open page"/>
    <hyperlink ref="K65" r:id="rId64" display="Open page"/>
    <hyperlink ref="K66" r:id="rId65" display="Open page"/>
    <hyperlink ref="K67" r:id="rId66" display="Open page"/>
    <hyperlink ref="K68" r:id="rId67" display="Open page"/>
    <hyperlink ref="K69" r:id="rId68" display="Open page"/>
    <hyperlink ref="K70" r:id="rId69" display="Open page"/>
    <hyperlink ref="K71" r:id="rId70" display="Open page"/>
    <hyperlink ref="K72" r:id="rId71" display="Open page"/>
    <hyperlink ref="K73" r:id="rId72" display="Open page"/>
    <hyperlink ref="K74" r:id="rId73" display="Open page"/>
    <hyperlink ref="K75" r:id="rId74" display="Open page"/>
    <hyperlink ref="K76" r:id="rId75" display="Open page"/>
    <hyperlink ref="K77" r:id="rId76" display="Open page"/>
    <hyperlink ref="K78" r:id="rId77" display="Open page"/>
    <hyperlink ref="K79" r:id="rId78" display="Open page"/>
    <hyperlink ref="K80" r:id="rId79" display="Open page"/>
    <hyperlink ref="K81" r:id="rId80" display="Open page"/>
    <hyperlink ref="K82" r:id="rId81" display="Open page"/>
    <hyperlink ref="K83" r:id="rId82" display="Open page"/>
    <hyperlink ref="K84" r:id="rId83" display="Open page"/>
    <hyperlink ref="K85" r:id="rId84" display="Open page"/>
    <hyperlink ref="K86" r:id="rId85" display="Open page"/>
    <hyperlink ref="K87" r:id="rId86" display="Open page"/>
    <hyperlink ref="K88" r:id="rId87" display="Open page"/>
    <hyperlink ref="K89" r:id="rId88" display="Open page"/>
    <hyperlink ref="K90" r:id="rId89" display="Open page"/>
    <hyperlink ref="K91" r:id="rId90" display="Open page"/>
    <hyperlink ref="K92" r:id="rId91" display="Open page"/>
    <hyperlink ref="K93" r:id="rId92" display="Open page"/>
    <hyperlink ref="K94" r:id="rId93" display="Open page"/>
    <hyperlink ref="K95" r:id="rId94" display="Open page"/>
    <hyperlink ref="K96" r:id="rId95" display="Open page"/>
    <hyperlink ref="K97" r:id="rId96" display="Open page"/>
    <hyperlink ref="K98" r:id="rId97" display="Open page"/>
    <hyperlink ref="K99" r:id="rId98" display="Open page"/>
    <hyperlink ref="K100" r:id="rId99" display="Open page"/>
    <hyperlink ref="K101" r:id="rId100" display="Open page"/>
    <hyperlink ref="K102" r:id="rId101" display="Open page"/>
    <hyperlink ref="K103" r:id="rId102" display="Open page"/>
    <hyperlink ref="K104" r:id="rId103" display="Open page"/>
    <hyperlink ref="K105" r:id="rId104" display="Open page"/>
    <hyperlink ref="K106" r:id="rId105" display="Open page"/>
    <hyperlink ref="K107" r:id="rId106" display="Open page"/>
    <hyperlink ref="K108" r:id="rId107" display="Open page"/>
    <hyperlink ref="K109" r:id="rId108" display="Open page"/>
    <hyperlink ref="K110" r:id="rId109" display="Open page"/>
    <hyperlink ref="K111" r:id="rId110" display="Open page"/>
    <hyperlink ref="K112" r:id="rId111" display="Open page"/>
    <hyperlink ref="K113" r:id="rId112" display="Open page"/>
    <hyperlink ref="K114" r:id="rId113" display="Open page"/>
    <hyperlink ref="K115" r:id="rId114" display="Open page"/>
    <hyperlink ref="K116" r:id="rId115" display="Open page"/>
    <hyperlink ref="K117" r:id="rId116" display="Open page"/>
    <hyperlink ref="K118" r:id="rId117" display="Open page"/>
    <hyperlink ref="K119" r:id="rId118" display="Open page"/>
    <hyperlink ref="K120" r:id="rId119" display="Open page"/>
    <hyperlink ref="K121" r:id="rId120" display="Open page"/>
    <hyperlink ref="K122" r:id="rId121" display="Open page"/>
    <hyperlink ref="K123" r:id="rId122" display="Open page"/>
    <hyperlink ref="K124" r:id="rId123" display="Open page"/>
    <hyperlink ref="K125" r:id="rId124" display="Open page"/>
    <hyperlink ref="K126" r:id="rId125" display="Open page"/>
    <hyperlink ref="K127" r:id="rId126" display="Open page"/>
    <hyperlink ref="K128" r:id="rId127" display="Open page"/>
    <hyperlink ref="K129" r:id="rId128" display="Open page"/>
    <hyperlink ref="K130" r:id="rId129" display="Open page"/>
    <hyperlink ref="K131" r:id="rId130" display="Open page"/>
    <hyperlink ref="K132" r:id="rId131" display="Open page"/>
    <hyperlink ref="K133" r:id="rId132" display="Open page"/>
    <hyperlink ref="K134" r:id="rId133" display="Open page"/>
    <hyperlink ref="K135" r:id="rId134" display="Open page"/>
    <hyperlink ref="K136" r:id="rId135" display="Open page"/>
    <hyperlink ref="K137" r:id="rId136" display="Open page"/>
    <hyperlink ref="K138" r:id="rId137" display="Open page"/>
    <hyperlink ref="K139" r:id="rId138" display="Open page"/>
    <hyperlink ref="K140" r:id="rId139" display="Open page"/>
    <hyperlink ref="K141" r:id="rId140" display="Open page"/>
    <hyperlink ref="K142" r:id="rId141" display="Open page"/>
    <hyperlink ref="K143" r:id="rId142" display="Open page"/>
    <hyperlink ref="K144" r:id="rId143" display="Open page"/>
    <hyperlink ref="K145" r:id="rId144" display="Open page"/>
    <hyperlink ref="K146" r:id="rId145" display="Open page"/>
    <hyperlink ref="K147" r:id="rId146" display="Open page"/>
    <hyperlink ref="K148" r:id="rId147" display="Open page"/>
    <hyperlink ref="K149" r:id="rId148" display="Open page"/>
    <hyperlink ref="K150" r:id="rId149" display="Open page"/>
    <hyperlink ref="K151" r:id="rId150" display="Open page"/>
    <hyperlink ref="K152" r:id="rId151" display="Open page"/>
    <hyperlink ref="K153" r:id="rId152" display="Open page"/>
    <hyperlink ref="K154" r:id="rId153" display="Open page"/>
    <hyperlink ref="K155" r:id="rId154" display="Open page"/>
    <hyperlink ref="K156" r:id="rId155" display="Open page"/>
    <hyperlink ref="K157" r:id="rId156" display="Open page"/>
    <hyperlink ref="K158" r:id="rId157" display="Open page"/>
    <hyperlink ref="K159" r:id="rId158" display="Open page"/>
    <hyperlink ref="K160" r:id="rId159" display="Open page"/>
    <hyperlink ref="K161" r:id="rId160" display="Open page"/>
    <hyperlink ref="K162" r:id="rId161" display="Open page"/>
    <hyperlink ref="K163" r:id="rId162" display="Open page"/>
    <hyperlink ref="K164" r:id="rId163" display="Open page"/>
    <hyperlink ref="K165" r:id="rId164" display="Open page"/>
    <hyperlink ref="K166" r:id="rId165" display="Open page"/>
    <hyperlink ref="K167" r:id="rId166" display="Open page"/>
    <hyperlink ref="K168" r:id="rId167" display="Open page"/>
    <hyperlink ref="K169" r:id="rId168" display="Open page"/>
    <hyperlink ref="K170" r:id="rId169" display="Open page"/>
    <hyperlink ref="K171" r:id="rId170" display="Open page"/>
    <hyperlink ref="K172" r:id="rId171" display="Open page"/>
    <hyperlink ref="K173" r:id="rId172" display="Open page"/>
    <hyperlink ref="K174" r:id="rId173" display="Open page"/>
    <hyperlink ref="K175" r:id="rId174" display="Open page"/>
    <hyperlink ref="K176" r:id="rId175" display="Open page"/>
    <hyperlink ref="K177" r:id="rId176" display="Open page"/>
    <hyperlink ref="K178" r:id="rId177" display="Open page"/>
    <hyperlink ref="K179" r:id="rId178" display="Open page"/>
    <hyperlink ref="K180" r:id="rId179" display="Open page"/>
    <hyperlink ref="K181" r:id="rId180" display="Open page"/>
    <hyperlink ref="K182" r:id="rId181" display="Open page"/>
    <hyperlink ref="K183" r:id="rId182" display="Open page"/>
    <hyperlink ref="K184" r:id="rId183" display="Open page"/>
    <hyperlink ref="K185" r:id="rId184" display="Open page"/>
    <hyperlink ref="K186" r:id="rId185" display="Open page"/>
    <hyperlink ref="K187" r:id="rId186" display="Open page"/>
    <hyperlink ref="K188" r:id="rId187" display="Open page"/>
    <hyperlink ref="K189" r:id="rId188" display="Open page"/>
    <hyperlink ref="K190" r:id="rId189" display="Open page"/>
    <hyperlink ref="K191" r:id="rId190" display="Open page"/>
    <hyperlink ref="K192" r:id="rId191" display="Open page"/>
    <hyperlink ref="K193" r:id="rId192" display="Open page"/>
    <hyperlink ref="K194" r:id="rId193" display="Open page"/>
    <hyperlink ref="K195" r:id="rId194" display="Open page"/>
    <hyperlink ref="K196" r:id="rId195" display="Open page"/>
    <hyperlink ref="K197" r:id="rId196" display="Open page"/>
    <hyperlink ref="K198" r:id="rId197" display="Open page"/>
    <hyperlink ref="K199" r:id="rId198" display="Open page"/>
    <hyperlink ref="K200" r:id="rId199" display="Open page"/>
    <hyperlink ref="K201" r:id="rId200" display="Open page"/>
    <hyperlink ref="K202" r:id="rId201" display="Open page"/>
    <hyperlink ref="K203" r:id="rId202" display="Open page"/>
    <hyperlink ref="K204" r:id="rId203" display="Open page"/>
    <hyperlink ref="K205" r:id="rId204" display="Open page"/>
    <hyperlink ref="K206" r:id="rId205" display="Open page"/>
    <hyperlink ref="K207" r:id="rId206" display="Open page"/>
    <hyperlink ref="K208" r:id="rId207" display="Open page"/>
    <hyperlink ref="K209" r:id="rId208" display="Open page"/>
    <hyperlink ref="K210" r:id="rId209" display="Open page"/>
    <hyperlink ref="K211" r:id="rId210" display="Open page"/>
    <hyperlink ref="K212" r:id="rId211" display="Open page"/>
    <hyperlink ref="K213" r:id="rId212" display="Open page"/>
    <hyperlink ref="K214" r:id="rId213" display="Open page"/>
    <hyperlink ref="K215" r:id="rId214" display="Open page"/>
    <hyperlink ref="K216" r:id="rId215" display="Open page"/>
    <hyperlink ref="K217" r:id="rId216" display="Open page"/>
    <hyperlink ref="K218" r:id="rId217" display="Open page"/>
    <hyperlink ref="K219" r:id="rId218" display="Open page"/>
    <hyperlink ref="K220" r:id="rId219" display="Open page"/>
    <hyperlink ref="K221" r:id="rId220" display="Open page"/>
    <hyperlink ref="K222" r:id="rId221" display="Open page"/>
    <hyperlink ref="K223" r:id="rId222" display="Open page"/>
    <hyperlink ref="K224" r:id="rId223" display="Open page"/>
    <hyperlink ref="K225" r:id="rId224" display="Open page"/>
    <hyperlink ref="K226" r:id="rId225" display="Open page"/>
    <hyperlink ref="K227" r:id="rId226" display="Open page"/>
    <hyperlink ref="K228" r:id="rId227" display="Open page"/>
    <hyperlink ref="K229" r:id="rId228" display="Open page"/>
    <hyperlink ref="K230" r:id="rId229" display="Open page"/>
    <hyperlink ref="K231" r:id="rId230" display="Open page"/>
    <hyperlink ref="K232" r:id="rId231" display="Open page"/>
    <hyperlink ref="K233" r:id="rId232" display="Open page"/>
    <hyperlink ref="K234" r:id="rId233" display="Open page"/>
    <hyperlink ref="K235" r:id="rId234" display="Open page"/>
    <hyperlink ref="K236" r:id="rId235" display="Open page"/>
    <hyperlink ref="K237" r:id="rId236" display="Open page"/>
    <hyperlink ref="K238" r:id="rId237" display="Open page"/>
    <hyperlink ref="K239" r:id="rId238" display="Open page"/>
    <hyperlink ref="K240" r:id="rId239" display="Open page"/>
    <hyperlink ref="K241" r:id="rId240" display="Open page"/>
    <hyperlink ref="K242" r:id="rId241" display="Open page"/>
    <hyperlink ref="K243" r:id="rId242" display="Open page"/>
    <hyperlink ref="K244" r:id="rId243" display="Open page"/>
    <hyperlink ref="K245" r:id="rId244" display="Open page"/>
    <hyperlink ref="K246" r:id="rId245" display="Open page"/>
    <hyperlink ref="K247" r:id="rId246" display="Open page"/>
    <hyperlink ref="K248" r:id="rId247" display="Open page"/>
    <hyperlink ref="K249" r:id="rId248" display="Open page"/>
    <hyperlink ref="K250" r:id="rId249" display="Open page"/>
    <hyperlink ref="K251" r:id="rId250" display="Open page"/>
    <hyperlink ref="K252" r:id="rId251" display="Open page"/>
    <hyperlink ref="K253" r:id="rId252" display="Open page"/>
    <hyperlink ref="K254" r:id="rId253" display="Open page"/>
    <hyperlink ref="K255" r:id="rId254" display="Open page"/>
    <hyperlink ref="K256" r:id="rId255" display="Open page"/>
    <hyperlink ref="K257" r:id="rId256" display="Open page"/>
    <hyperlink ref="K258" r:id="rId257" display="Open page"/>
    <hyperlink ref="K259" r:id="rId258" display="Open page"/>
    <hyperlink ref="K260" r:id="rId259" display="Open page"/>
    <hyperlink ref="K261" r:id="rId260" display="Open page"/>
    <hyperlink ref="K262" r:id="rId261" display="Open page"/>
    <hyperlink ref="K263" r:id="rId262" display="Open page"/>
    <hyperlink ref="K264" r:id="rId263" display="Open page"/>
    <hyperlink ref="K265" r:id="rId264" display="Open page"/>
    <hyperlink ref="K266" r:id="rId265" display="Open page"/>
    <hyperlink ref="K267" r:id="rId266" display="Open page"/>
    <hyperlink ref="K268" r:id="rId267" display="Open page"/>
    <hyperlink ref="K269" r:id="rId268" display="Open page"/>
    <hyperlink ref="K270" r:id="rId269" display="Open page"/>
    <hyperlink ref="K271" r:id="rId270" display="Open page"/>
    <hyperlink ref="K272" r:id="rId271" display="Open page"/>
    <hyperlink ref="K273" r:id="rId272" display="Open page"/>
    <hyperlink ref="K274" r:id="rId273" display="Open page"/>
    <hyperlink ref="K275" r:id="rId274" display="Open page"/>
    <hyperlink ref="K276" r:id="rId275" display="Open page"/>
    <hyperlink ref="K277" r:id="rId276" display="Open page"/>
    <hyperlink ref="K278" r:id="rId277" display="Open page"/>
    <hyperlink ref="K279" r:id="rId278" display="Open page"/>
    <hyperlink ref="K280" r:id="rId279" display="Open page"/>
    <hyperlink ref="K281" r:id="rId280" display="Open page"/>
    <hyperlink ref="K282" r:id="rId281" display="Open page"/>
    <hyperlink ref="K283" r:id="rId282" display="Open page"/>
    <hyperlink ref="K284" r:id="rId283" display="Open page"/>
    <hyperlink ref="K285" r:id="rId284" display="Open page"/>
    <hyperlink ref="K286" r:id="rId285" display="Open page"/>
    <hyperlink ref="K287" r:id="rId286" display="Open page"/>
    <hyperlink ref="K288" r:id="rId287" display="Open page"/>
    <hyperlink ref="K289" r:id="rId288" display="Open page"/>
    <hyperlink ref="K290" r:id="rId289" display="Open page"/>
    <hyperlink ref="K291" r:id="rId290" display="Open page"/>
    <hyperlink ref="K292" r:id="rId291" display="Open page"/>
    <hyperlink ref="K293" r:id="rId292" display="Open page"/>
    <hyperlink ref="K294" r:id="rId293" display="Open page"/>
    <hyperlink ref="K295" r:id="rId294" display="Open page"/>
    <hyperlink ref="K296" r:id="rId295" display="Open page"/>
    <hyperlink ref="K297" r:id="rId296" display="Open page"/>
    <hyperlink ref="K298" r:id="rId297" display="Open page"/>
    <hyperlink ref="K299" r:id="rId298" display="Open page"/>
    <hyperlink ref="K300" r:id="rId299" display="Open page"/>
    <hyperlink ref="K301" r:id="rId300" display="Open page"/>
    <hyperlink ref="K302" r:id="rId301" display="Open page"/>
    <hyperlink ref="K303" r:id="rId302" display="Open page"/>
    <hyperlink ref="K304" r:id="rId303" display="Open page"/>
    <hyperlink ref="K305" r:id="rId304" display="Open page"/>
    <hyperlink ref="K306" r:id="rId305" display="Open page"/>
    <hyperlink ref="K307" r:id="rId306" display="Open page"/>
    <hyperlink ref="K308" r:id="rId307" display="Open page"/>
    <hyperlink ref="K309" r:id="rId308" display="Open page"/>
    <hyperlink ref="K310" r:id="rId309" display="Open page"/>
    <hyperlink ref="K311" r:id="rId310" display="Open page"/>
    <hyperlink ref="K312" r:id="rId311" display="Open page"/>
    <hyperlink ref="K313" r:id="rId312" display="Open page"/>
    <hyperlink ref="K314" r:id="rId313" display="Open page"/>
    <hyperlink ref="K315" r:id="rId314" display="Open page"/>
    <hyperlink ref="K316" r:id="rId315" display="Open page"/>
    <hyperlink ref="K317" r:id="rId316" display="Open page"/>
    <hyperlink ref="K318" r:id="rId317" display="Open page"/>
    <hyperlink ref="K319" r:id="rId318" display="Open page"/>
    <hyperlink ref="K320" r:id="rId319" display="Open page"/>
    <hyperlink ref="K321" r:id="rId320" display="Open page"/>
    <hyperlink ref="K322" r:id="rId321" display="Open page"/>
    <hyperlink ref="K323" r:id="rId322" display="Open page"/>
    <hyperlink ref="K324" r:id="rId323" display="Open page"/>
    <hyperlink ref="K325" r:id="rId324" display="Open page"/>
    <hyperlink ref="K326" r:id="rId325" display="Open page"/>
    <hyperlink ref="K327" r:id="rId326" display="Open page"/>
    <hyperlink ref="K328" r:id="rId327" display="Open page"/>
    <hyperlink ref="K329" r:id="rId328" display="Open page"/>
    <hyperlink ref="K330" r:id="rId329" display="Open page"/>
    <hyperlink ref="K331" r:id="rId330" display="Open page"/>
    <hyperlink ref="K332" r:id="rId331" display="Open page"/>
    <hyperlink ref="K333" r:id="rId332" display="Open page"/>
    <hyperlink ref="K334" r:id="rId333" display="Open page"/>
    <hyperlink ref="K335" r:id="rId334" display="Open page"/>
    <hyperlink ref="K336" r:id="rId335" display="Open page"/>
    <hyperlink ref="K337" r:id="rId336" display="Open page"/>
    <hyperlink ref="K338" r:id="rId337" display="Open page"/>
    <hyperlink ref="K339" r:id="rId338" display="Open page"/>
    <hyperlink ref="K340" r:id="rId339" display="Open page"/>
    <hyperlink ref="K341" r:id="rId340" display="Open page"/>
    <hyperlink ref="K342" r:id="rId341" display="Open page"/>
    <hyperlink ref="K343" r:id="rId342" display="Open page"/>
    <hyperlink ref="K344" r:id="rId343" display="Open page"/>
    <hyperlink ref="K345" r:id="rId344" display="Open page"/>
    <hyperlink ref="K346" r:id="rId345" display="Open page"/>
    <hyperlink ref="K347" r:id="rId346" display="Open page"/>
    <hyperlink ref="K348" r:id="rId347" display="Open page"/>
    <hyperlink ref="K349" r:id="rId348" display="Open page"/>
    <hyperlink ref="K350" r:id="rId349" display="Open page"/>
    <hyperlink ref="K351" r:id="rId350" display="Open page"/>
    <hyperlink ref="K352" r:id="rId351" display="Open page"/>
    <hyperlink ref="K353" r:id="rId352" display="Open page"/>
    <hyperlink ref="K354" r:id="rId353" display="Open page"/>
    <hyperlink ref="K355" r:id="rId354" display="Open page"/>
    <hyperlink ref="K356" r:id="rId355" display="Open page"/>
    <hyperlink ref="K357" r:id="rId356" display="Open page"/>
    <hyperlink ref="K358" r:id="rId357" display="Open page"/>
    <hyperlink ref="K359" r:id="rId358" display="Open page"/>
    <hyperlink ref="K360" r:id="rId359" display="Open page"/>
    <hyperlink ref="K361" r:id="rId360" display="Open page"/>
    <hyperlink ref="K362" r:id="rId361" display="Open page"/>
    <hyperlink ref="K363" r:id="rId362" display="Open page"/>
    <hyperlink ref="K364" r:id="rId363" display="Open page"/>
    <hyperlink ref="K365" r:id="rId364" display="Open page"/>
    <hyperlink ref="K366" r:id="rId365" display="Open page"/>
    <hyperlink ref="K367" r:id="rId366" display="Open page"/>
    <hyperlink ref="K368" r:id="rId367" display="Open page"/>
    <hyperlink ref="K369" r:id="rId368" display="Open page"/>
    <hyperlink ref="K370" r:id="rId369" display="Open page"/>
    <hyperlink ref="K371" r:id="rId370" display="Open page"/>
    <hyperlink ref="K372" r:id="rId371" display="Open page"/>
    <hyperlink ref="K373" r:id="rId372" display="Open page"/>
    <hyperlink ref="K374" r:id="rId373" display="Open page"/>
    <hyperlink ref="K375" r:id="rId374" display="Open page"/>
    <hyperlink ref="K376" r:id="rId375" display="Open page"/>
    <hyperlink ref="K377" r:id="rId376" display="Open page"/>
    <hyperlink ref="K378" r:id="rId377" display="Open page"/>
    <hyperlink ref="K379" r:id="rId378" display="Open page"/>
    <hyperlink ref="K380" r:id="rId379" display="Open page"/>
    <hyperlink ref="K381" r:id="rId380" display="Open page"/>
    <hyperlink ref="K382" r:id="rId381" display="Open page"/>
    <hyperlink ref="K383" r:id="rId382" display="Open page"/>
    <hyperlink ref="K384" r:id="rId383" display="Open page"/>
    <hyperlink ref="K385" r:id="rId384" display="Open page"/>
    <hyperlink ref="K386" r:id="rId385" display="Open page"/>
    <hyperlink ref="K387" r:id="rId386" display="Open page"/>
    <hyperlink ref="K388" r:id="rId387" display="Open page"/>
    <hyperlink ref="K389" r:id="rId388" display="Open page"/>
    <hyperlink ref="K390" r:id="rId389" display="Open page"/>
    <hyperlink ref="K391" r:id="rId390" display="Open page"/>
    <hyperlink ref="K392" r:id="rId391" display="Open page"/>
    <hyperlink ref="K393" r:id="rId392" display="Open page"/>
    <hyperlink ref="K394" r:id="rId393" display="Open page"/>
    <hyperlink ref="K395" r:id="rId394" display="Open page"/>
    <hyperlink ref="K396" r:id="rId395" display="Open page"/>
    <hyperlink ref="K397" r:id="rId396" display="Open page"/>
    <hyperlink ref="K398" r:id="rId397" display="Open page"/>
    <hyperlink ref="K399" r:id="rId398" display="Open page"/>
    <hyperlink ref="K400" r:id="rId399" display="Open page"/>
    <hyperlink ref="K401" r:id="rId400" display="Open page"/>
    <hyperlink ref="K402" r:id="rId401" display="Open page"/>
    <hyperlink ref="K403" r:id="rId402" display="Open page"/>
    <hyperlink ref="K404" r:id="rId403" display="Open page"/>
    <hyperlink ref="K405" r:id="rId404" display="Open page"/>
    <hyperlink ref="K406" r:id="rId405" display="Open page"/>
    <hyperlink ref="K407" r:id="rId406" display="Open page"/>
    <hyperlink ref="K408" r:id="rId407" display="Open p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1101</v>
      </c>
    </row>
    <row r="3" customFormat="false" ht="15" hidden="false" customHeight="false" outlineLevel="0" collapsed="false">
      <c r="A3" s="17" t="s">
        <v>36</v>
      </c>
      <c r="B3" s="17" t="s">
        <v>1102</v>
      </c>
      <c r="C3" s="17" t="s">
        <v>1103</v>
      </c>
      <c r="D3" s="17" t="s">
        <v>1104</v>
      </c>
      <c r="E3" s="17" t="s">
        <v>1105</v>
      </c>
    </row>
    <row r="4" customFormat="false" ht="15" hidden="false" customHeight="false" outlineLevel="0" collapsed="false">
      <c r="A4" s="2" t="s">
        <v>47</v>
      </c>
      <c r="B4" s="2" t="n">
        <f aca="false">COUNTIF(Worklist!$A$2:$A$408,A4)</f>
        <v>24</v>
      </c>
      <c r="C4" s="2" t="n">
        <f aca="false">COUNTIFS(Worklist!$A$2:$A$408,A4,Worklist!$O$2:$O$408,"&lt;&gt;")</f>
        <v>0</v>
      </c>
      <c r="D4" s="2" t="n">
        <f aca="false">B4-C4</f>
        <v>24</v>
      </c>
      <c r="E4" s="18" t="n">
        <f aca="false">IF(B4=0,0,C4/B4)</f>
        <v>0</v>
      </c>
    </row>
    <row r="5" customFormat="false" ht="15" hidden="false" customHeight="false" outlineLevel="0" collapsed="false">
      <c r="A5" s="2" t="s">
        <v>124</v>
      </c>
      <c r="B5" s="2" t="n">
        <f aca="false">COUNTIF(Worklist!$A$2:$A$408,A5)</f>
        <v>77</v>
      </c>
      <c r="C5" s="2" t="n">
        <f aca="false">COUNTIFS(Worklist!$A$2:$A$408,A5,Worklist!$O$2:$O$408,"&lt;&gt;")</f>
        <v>0</v>
      </c>
      <c r="D5" s="2" t="n">
        <f aca="false">B5-C5</f>
        <v>77</v>
      </c>
      <c r="E5" s="18" t="n">
        <f aca="false">IF(B5=0,0,C5/B5)</f>
        <v>0</v>
      </c>
    </row>
    <row r="6" customFormat="false" ht="15" hidden="false" customHeight="false" outlineLevel="0" collapsed="false">
      <c r="A6" s="2" t="s">
        <v>316</v>
      </c>
      <c r="B6" s="2" t="n">
        <f aca="false">COUNTIF(Worklist!$A$2:$A$408,A6)</f>
        <v>86</v>
      </c>
      <c r="C6" s="2" t="n">
        <f aca="false">COUNTIFS(Worklist!$A$2:$A$408,A6,Worklist!$O$2:$O$408,"&lt;&gt;")</f>
        <v>0</v>
      </c>
      <c r="D6" s="2" t="n">
        <f aca="false">B6-C6</f>
        <v>86</v>
      </c>
      <c r="E6" s="18" t="n">
        <f aca="false">IF(B6=0,0,C6/B6)</f>
        <v>0</v>
      </c>
    </row>
    <row r="7" customFormat="false" ht="15" hidden="false" customHeight="false" outlineLevel="0" collapsed="false">
      <c r="A7" s="2" t="s">
        <v>542</v>
      </c>
      <c r="B7" s="2" t="n">
        <f aca="false">COUNTIF(Worklist!$A$2:$A$408,A7)</f>
        <v>65</v>
      </c>
      <c r="C7" s="2" t="n">
        <f aca="false">COUNTIFS(Worklist!$A$2:$A$408,A7,Worklist!$O$2:$O$408,"&lt;&gt;")</f>
        <v>0</v>
      </c>
      <c r="D7" s="2" t="n">
        <f aca="false">B7-C7</f>
        <v>65</v>
      </c>
      <c r="E7" s="18" t="n">
        <f aca="false">IF(B7=0,0,C7/B7)</f>
        <v>0</v>
      </c>
    </row>
    <row r="8" customFormat="false" ht="15" hidden="false" customHeight="false" outlineLevel="0" collapsed="false">
      <c r="A8" s="2" t="s">
        <v>709</v>
      </c>
      <c r="B8" s="2" t="n">
        <f aca="false">COUNTIF(Worklist!$A$2:$A$408,A8)</f>
        <v>26</v>
      </c>
      <c r="C8" s="2" t="n">
        <f aca="false">COUNTIFS(Worklist!$A$2:$A$408,A8,Worklist!$O$2:$O$408,"&lt;&gt;")</f>
        <v>0</v>
      </c>
      <c r="D8" s="2" t="n">
        <f aca="false">B8-C8</f>
        <v>26</v>
      </c>
      <c r="E8" s="18" t="n">
        <f aca="false">IF(B8=0,0,C8/B8)</f>
        <v>0</v>
      </c>
    </row>
    <row r="9" customFormat="false" ht="15" hidden="false" customHeight="false" outlineLevel="0" collapsed="false">
      <c r="A9" s="2" t="s">
        <v>774</v>
      </c>
      <c r="B9" s="2" t="n">
        <f aca="false">COUNTIF(Worklist!$A$2:$A$408,A9)</f>
        <v>129</v>
      </c>
      <c r="C9" s="2" t="n">
        <f aca="false">COUNTIFS(Worklist!$A$2:$A$408,A9,Worklist!$O$2:$O$408,"&lt;&gt;")</f>
        <v>0</v>
      </c>
      <c r="D9" s="2" t="n">
        <f aca="false">B9-C9</f>
        <v>129</v>
      </c>
      <c r="E9" s="18" t="n">
        <f aca="false">IF(B9=0,0,C9/B9)</f>
        <v>0</v>
      </c>
    </row>
    <row r="10" customFormat="false" ht="15" hidden="false" customHeight="false" outlineLevel="0" collapsed="false">
      <c r="A10" s="3" t="s">
        <v>1106</v>
      </c>
      <c r="B10" s="3" t="n">
        <f aca="false">SUM(B4:B9)</f>
        <v>407</v>
      </c>
      <c r="C10" s="3" t="n">
        <f aca="false">SUM(C4:C9)</f>
        <v>0</v>
      </c>
      <c r="D10" s="3" t="n">
        <f aca="false">SUM(D4:D9)</f>
        <v>407</v>
      </c>
      <c r="E10" s="19" t="n">
        <f aca="false">IF(B10=0,0,C10/B10)</f>
        <v>0</v>
      </c>
    </row>
    <row r="12" customFormat="false" ht="15" hidden="false" customHeight="false" outlineLevel="0" collapsed="false">
      <c r="A12" s="3" t="s">
        <v>1107</v>
      </c>
    </row>
    <row r="13" customFormat="false" ht="15" hidden="false" customHeight="false" outlineLevel="0" collapsed="false">
      <c r="A13" s="17" t="s">
        <v>27</v>
      </c>
      <c r="B13" s="17" t="s">
        <v>1108</v>
      </c>
    </row>
    <row r="14" customFormat="false" ht="15" hidden="false" customHeight="false" outlineLevel="0" collapsed="false">
      <c r="A14" s="2" t="s">
        <v>33</v>
      </c>
      <c r="B14" s="2" t="n">
        <f aca="false">COUNTIF(Worklist!$O$2:$O$408,A14)</f>
        <v>0</v>
      </c>
    </row>
    <row r="15" customFormat="false" ht="15" hidden="false" customHeight="false" outlineLevel="0" collapsed="false">
      <c r="A15" s="2" t="s">
        <v>1109</v>
      </c>
      <c r="B15" s="2" t="n">
        <f aca="false">COUNTIF(Worklist!$O$2:$O$408,A15)</f>
        <v>0</v>
      </c>
    </row>
    <row r="16" customFormat="false" ht="15" hidden="false" customHeight="false" outlineLevel="0" collapsed="false">
      <c r="A16" s="2" t="s">
        <v>1110</v>
      </c>
      <c r="B16" s="2" t="n">
        <f aca="false">COUNTIF(Worklist!$O$2:$O$408,A16)</f>
        <v>0</v>
      </c>
    </row>
    <row r="17" customFormat="false" ht="15" hidden="false" customHeight="false" outlineLevel="0" collapsed="false">
      <c r="A17" s="2" t="s">
        <v>1111</v>
      </c>
      <c r="B17" s="2" t="n">
        <f aca="false">COUNTIF(Worklist!$O$2:$O$408,A17)</f>
        <v>0</v>
      </c>
    </row>
    <row r="18" customFormat="false" ht="15" hidden="false" customHeight="false" outlineLevel="0" collapsed="false">
      <c r="A18" s="2" t="s">
        <v>1112</v>
      </c>
      <c r="B18" s="2" t="n">
        <f aca="false">COUNTIF(Worklist!$O$2:$O$408,A18)</f>
        <v>0</v>
      </c>
    </row>
    <row r="19" customFormat="false" ht="15" hidden="false" customHeight="false" outlineLevel="0" collapsed="false">
      <c r="A19" s="2" t="s">
        <v>1113</v>
      </c>
      <c r="B19" s="2" t="n">
        <f aca="false">COUNTIF(Worklist!$O$2:$O$408,A19)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2026-10-12T16:57:41Z</dcterms:created>
  <dc:creator>openpyxl</dc:creator>
  <dc:description/>
  <dc:language>en-US</dc:language>
  <cp:lastModifiedBy/>
  <dcterms:modified xsi:type="dcterms:W3CDTF">2026-10-12T16:57:42Z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